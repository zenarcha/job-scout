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Golden Dataset" sheetId="1" state="visible" r:id="rId3"/>
    <sheet name="Legend" sheetId="2" state="visible" r:id="rId4"/>
    <sheet name="Failure Categories" sheetId="3" state="visible" r:id="rId5"/>
    <sheet name="Summar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<sst xmlns="http://schemas.openxmlformats.org/spreadsheetml/2006/main" count="378" uniqueCount="210">
  <si>
    <t xml:space="preserve">case_id</t>
  </si>
  <si>
    <t xml:space="preserve">company</t>
  </si>
  <si>
    <t xml:space="preserve">role_title</t>
  </si>
  <si>
    <t xml:space="preserve">location</t>
  </si>
  <si>
    <t xml:space="preserve">jd_text</t>
  </si>
  <si>
    <t xml:space="preserve">field_under_test</t>
  </si>
  <si>
    <t xml:space="preserve">expected_value</t>
  </si>
  <si>
    <t xml:space="preserve">severity</t>
  </si>
  <si>
    <t xml:space="preserve">grading_rationale</t>
  </si>
  <si>
    <t xml:space="preserve">input_pattern_status</t>
  </si>
  <si>
    <t xml:space="preserve">input_pattern_family</t>
  </si>
  <si>
    <t xml:space="preserve">input_pattern</t>
  </si>
  <si>
    <t xml:space="preserve">root_cause_status</t>
  </si>
  <si>
    <t xml:space="preserve">root_cause</t>
  </si>
  <si>
    <t xml:space="preserve">source</t>
  </si>
  <si>
    <t xml:space="preserve">why_this_test_exists</t>
  </si>
  <si>
    <t xml:space="preserve">actual_output-baseline_v4_prompt-2026-08-13</t>
  </si>
  <si>
    <t xml:space="preserve">pass_fail_output-baseline_v4_prompt-2026-08-13</t>
  </si>
  <si>
    <t xml:space="preserve">actual_output-reasoningredesign_TBD_TBD</t>
  </si>
  <si>
    <t xml:space="preserve">pass_fail_output-reasoningredesign_TBD_TBD</t>
  </si>
  <si>
    <t xml:space="preserve">GC-001</t>
  </si>
  <si>
    <t xml:space="preserve">Kira (BJAK)</t>
  </si>
  <si>
    <t xml:space="preserve">Technical Product Manager</t>
  </si>
  <si>
    <t xml:space="preserve">India</t>
  </si>
  <si>
    <t xml:space="preserve">About KIRA
Our mission is to make money smart, reliable and within reach for everyone.
In 2019, we built the first mobile-first, insurance platform, enabling insurance to be accessible online by millions in the region. Today, it's the leading insurance platform in Southeast Asia.
Today, we are expanding ways to help people in Asia and it includes spending, saving, investing, exchanging, travelling, and more. Our objective is to build tools that will help people get more from their money and at ease and self reliance, become an expert. We believe AI will help us achieve this in our generation.
We are looking for the most talented and driven people we can find. We are looking for people who work for their passion, not counting hours. Who loves building great next-generation products, not status quo. Who cares about redefining how everyone around us can get the best financial applications, not for an exclusive few.
We have teams working around the world, with over 20 nationalities and growing from our offices and remotely. Join us and build a better future.
The Role
BJAK is building a Neobank Superapp for Southeast Asia. As a Technical Product Manager, you’ll own a product vertical end to end—such as payments and expense management, remittance, insurance, or wealth and trading—from strategy, outcomes, and roadmap through to the technical design and delivery of the systems behind it.
This is a product where real money moves, mistakes are immediately visible, and licensing, compliance, and third-party rails are core product constraints—not considerations around the edges.
We are AI-native by default, but AI is a means, not the goal. The bar is knowing where a model can genuinely improve an outcome, where deterministic systems must remain in control, and how to build products that are reliable, auditable, and trusted when money is involved.
What you'll be doing
Own a vertical end-to-end — outcomes and metrics, a backlog prioritised by value / risk / dependency / strategic priority, acceptance criteria crisp enough to build and test against.
Shape the technical design with engineering — system boundaries, money-movement correctness (idempotency, ledgering, reconciliation), third-party-rail reliance and rail-down behaviour, failure/retry/refund paths, security, latency, scalability, recovery.
Make hard trade-offs across correctness, speed, cost, reliability and UX — and defend them to an engineering, compliance or ops lead who pushes back.
Treat regulated constraints as first-class product inputs — licensing scope, CDD/KYC and limits, sanctions/PEP screening, transaction monitoring, data residency and privacy. Know which are hard launch gates and which are forward-readiness.
Apply AI where it earns its place — define what it's allowed to decide, where a human stays in the loop, how it's evaluated, and what it does when unsure. Every AI-surfaced number traces back to a real record.
Ship against external gates — build feature-complete behind flags; go live per rail as each partner and regulatory gate clears.
Work across Engineering, Design, Compliance, Operations, Treasury and Finance/Reconciliation.
What you'll need
Product leadership — significant experience owning a complex technical product end-to-end; strong judgement and decisiveness under ambiguity; ability to balance ambition against technical, regulatory and operational reality; can hold their own with senior engineers.
Technical foundation — solid system design (boundaries, datastores, queues/workflows, APIs, failure modes, consistency under concurrency); comfort reading, reviewing and challenging design docs; can sketch an architecture and a sequence. No production code, but technical enough that engineers don't have to simplify.
Domain — experience in a regulated / high-consequence domain (payments, banking, remittance, insurance, …) or demonstrable fast-ramp ability; understands why money movement is different (correctness over convenience, irreversible states, partners you don't control).
AI judgement — hands-on with LLM-based products; can frame a feature as eval-able (offline, online, human feedback); realistic on hallucination/drift/data gaps, including data-blocked vs model-blocked and when a model must not be in the loop at all.
Nice to have — engineer or highly-technical-PM background · zero-to-one · shipped AI-heavy consumer products · defined eval metrics for ML/LLM systems · AI UX + failure-handling intuition · SEA market experience.
Outcomes
Clear vertical strategy and legible roadmap
Ships fast and clears the gates that actually block launch
Money is correct and users are never misled about the state of their funds
AI features are valuable, predictable and trusted
Trade-offs made deliberately under uncertainty and hold up when challenged
Engineering, design, compliance, and operations are aligned with minimal friction
Location
This role is remote, but candidates must be based in China. We are hiring specifically for this market, so applicants should already be based in China.
.
Language
English is our main working language across global teams. Strong English communication is required.
Interview Process
Our process is designed to move fast:
Online assessment or practical task
Role-specific interview
CEO / final round
For strong candidates, we aim to complete the process and make an offer within 1 week from the start of the interview process. Candidates who complete assessments quickly will be prioritized.</t>
  </si>
  <si>
    <t xml:space="preserve">remote_type</t>
  </si>
  <si>
    <t xml:space="preserve">remote_global</t>
  </si>
  <si>
    <t xml:space="preserve">false-negative</t>
  </si>
  <si>
    <t xml:space="preserve">JD states explicitly: "This role is remote, but candidates must be based in China. We are hiring specifically for this market, so applicants should already be based in China." This contradicts LinkedIn's own locations_derived ('India') and matches Apify's own ai_remote_location field ('China'), which agrees with the JD text, not the location metadata.</t>
  </si>
  <si>
    <t xml:space="preserve">diagnosed</t>
  </si>
  <si>
    <t xml:space="preserve">ip_location_conflict</t>
  </si>
  <si>
    <t xml:space="preserve">ip_location_field_contradicts_jd_text</t>
  </si>
  <si>
    <t xml:space="preserve">not_yet_diagnosed</t>
  </si>
  <si>
    <t xml:space="preserve">real_prod_case (D-121, D-129, D-130)</t>
  </si>
  <si>
    <t xml:space="preserve">This is D-121's founding case: LinkedIn's own locations_derived says India, but the JD (deep in the text) restricts the role to China. Pre-v5 rubric, the classifier would have wrongly said remote_india from the location field alone. The v5 rubric rewrite (D-129) fixed this, and D-130 verified the fix against this exact posting. This row exists as a permanent regression guard so a future prompt change can't silently reintroduce the mistake. Tests classifyPrompt (junior-titled role, full classify call).</t>
  </si>
  <si>
    <t xml:space="preserve">GC-002</t>
  </si>
  <si>
    <t xml:space="preserve">Danaher</t>
  </si>
  <si>
    <t xml:space="preserve">HRSD Functional Product Owner</t>
  </si>
  <si>
    <t xml:space="preserve">Kolkata, West Bengal, India</t>
  </si>
  <si>
    <t xml:space="preserve">Bring more to life.
At Danaher, our work saves lives. And each of us plays a part. Fueled by our culture of continuous improvement, we turn ideas into impact – innovating at the speed of life. 
Our 60,000+ associates work across the globe at more than 15 unique businesses within life sciences, diagnostics, and biotechnology. 
Are you ready to accelerate your potential and make a real difference? At Danaher, you can build an incredible career at a leading science and technology company, where we’re committed to hiring and developing from within. You’ll thrive in a culture of belonging where you and your unique viewpoint matter. 
Learn about the Danaher Business System which makes everything possible.
The Senior HR Service Delivery Functional Product Owner is responsible for defining business priorities, shaping solutions, and ensuring HRSD capabilities delivered through ServiceNow drive measurable improvements in service efficiency, employee experience, and adoption. This role serves as the primary functional owner of HRSD platform demand, partnering closely with HRSD Operations, Centers of Excellence, and the HRIT HRSD Technical Product Owner to deliver scalable, high-impact solutions aligned to enterprise service delivery standards.
In This Role, You Will Have The Opportunity To
Define and prioritize HRSD demand, translating business needs and operational insights into a clear, value-driven functional backlog. 
Own the creation and refinement of epics, features, and user stories aligned to HR outcomes, including success measures and acceptance criteria. 
Make trade-off decisions across scope, speed, and experience to maximize the value delivered through HRSD capabilities. 
Partner closely with the HRIT HRSD Technical Product Owner to ensure backlog readiness, feasibility, and alignment with ServiceNow platform capabilities. 
Validate delivered solutions against business requirements, ensuring improvements in self-service adoption, Tier 1 effectiveness, and overall service performance. 
The Essential Requirements Of The Job Include
Bachelor’s degree in HR, Business, Information Systems, or a related field. 
Minimum of 7 years of hands‑on experience leading ServiceNow HRSD as Product Owner, Business Analyst, or Functional HRSD Architect. 
Hands-on experience working with ServiceNow HRSD (case management, knowledge, employee service center) in a product owner, BA, or functional lead capacity. 
Proven ability to translate business needs into structured requirements, prioritize work based on value, and operate in a backlog-driven delivery model. 
It would be a plus if you also possess previous experience in:
Leading or supporting enterprise ServiceNow HRSD implementations or enhancements. 
Agile or product management practices, including backlog management and release cycles. 
Driving HRSD service model improvements (e.g., Tier 0/1 optimization, automation, AI-enabled service delivery). 
Danaher offers a broad array of comprehensive, competitive benefit programs that add value to our lives. Whether it’s a health care program or paid time off, our programs contribute to life beyond the job. Check out our benefits at Danaher Benefits Info.
Join our winning team today. Together, we’ll accelerate the real-life impact of tomorrow’s science and technology. We partner with customers across the globe to help them solve their most complex challenges, architecting solutions that bring the power of science to life.
For more information, visit www.danaher.com.</t>
  </si>
  <si>
    <t xml:space="preserve">remote_india</t>
  </si>
  <si>
    <t xml:space="preserve">No explicit "remote" sentence appears in the JD body text itself — the remote evidence is structural: LinkedIn's own schema.org location_type field is TELECOMMUTE, and Apify's own ai_work_arrangement field says "Remote OK". remote_check returned not_remote ('other' at the time) anyway, missing both structured signals. Note: this differs slightly from how the case was described when first logged (D-149 said "explicit remote language in the JD") — checking the raw JD text directly found the explicit signal lives in structured metadata, not prose.</t>
  </si>
  <si>
    <t xml:space="preserve">not_applicable</t>
  </si>
  <si>
    <t xml:space="preserve">reasoning_after_verdict</t>
  </si>
  <si>
    <t xml:space="preserve">real_prod_case (D-146/D-147, cited in D-149)</t>
  </si>
  <si>
    <t xml:space="preserve">One of the 2 confirmed real remote_check misses (Session 30, 2026-08-10 audit) that directly motivated D-149's reason-before-classify redesign. Exists to verify D-149 actually fixes what it was built to fix, once implemented. Tests remoteCheckPrompt (senior-titled role, D-133/D-136 skip classify entirely), not classifyPrompt — the two prompts share this rubric verbatim, so this row also guards remoteCheckPrompt specifically.</t>
  </si>
  <si>
    <t xml:space="preserve">GC-003</t>
  </si>
  <si>
    <t xml:space="preserve">Equinix</t>
  </si>
  <si>
    <t xml:space="preserve">Product Manager - Senior Staff - Data &amp; AI</t>
  </si>
  <si>
    <t xml:space="preserve">Bengaluru, Karnataka, India</t>
  </si>
  <si>
    <t xml:space="preserve">Who are we?
Equinix is the world’s digital infrastructure company®, shortening the path to connectivity to enable the innovations that enrich our work, life and planet.
A place where bold ideas are welcomed, human connection is valued, and everyone has the opportunity to shape their future.
A career at Equinix means being at the center of shaping what comes next and amplifying customer value through innovation and impact. You’ll work across teams, influence key decisions, and help shape the path forward. You’ll find belonging, purpose, and a team that welcomes you—because when you feel valued, you’re empowered to do your best work.
Job Description
About the Role
We're looking for a Senior/Staff Product Manager to join our Data &amp; Analytics team and own the product strategy for data platforms, analytics tooling, and AI-driven capabilities. This role sits at the intersection of data engineering, business strategy, and applied AI — you'll translate complex business needs into a clear product roadmap, while working hand-in-hand with data engineers to ship scalable, reliable, and high-impact solutions.
This is a high-visibility, cross-functional role for someone who can operate at both strategic and technical depth, partner effectively with engineering and business stakeholders, and has hands-on experience shipping AI/ML-powered products.
What You'll Do
Product Management for Data, BI and AI product
Manage and execute the data analytics product vision to help business teams adopt data and use it confidently for decision-making.
Lead end-to-end delivery of AI-powered analytics products — from problem framing and data feasibility assessment through model evaluation, deployment, and adoption.
Define success metrics, build business cases, and prioritize a roadmap balancing technical debt, platform scalability, and business impact.
Provide statistical techniques, quantitative data analysis, predictive analytics, and scenario-based analysis to support product decisions.
Cross-Functional Partnership
Engage with cross-functional business and IT teams to understand requirements, analyze, design, and help build solutions for analytics and data science products.
Partner closely with Data Engineering to design scalable data pipelines, infrastructure, and platform capabilities that support analytics and AI use cases.
Work directly with business partners (Sales, Marketing, Customer Success...) to identify high-value problems, gather requirements, and translate them into actionable product specs.
Collaborate closely with analysts and data scientists across the organization, including on model development, evaluation, and responsible AI practices (bias, explainability, governance).
Analyze complex requirements and translate them into simple, actionable user stories.
Maintain deep knowledge of cross-functional data and ensure data quality on all products launched.
Delivery &amp; Execution
Build dashboard prototypes to help business stakeholders visualize end products.
Get involved in testing analytic products for functionality, user interface, and data quality.
Provide technical support to business teams for self-serve analytics; define best practices and develop user guides.
Follow agile methodologies and deliver continuous enhancements to products.
Optimize release management to strike the right balance between business goals and delivery capacity.
Identify and manage risks in release delivery and communicate clearly with stakeholders, including mitigation plans.
Debug and identify root causes for critical issues and provide solution recommendations.
Ensure data security and compliance measures are in place for every product delivered.
Leadership &amp; Documentation
Support senior management by creating architecture, project management, and roadmap documentation.
Own the product lifecycle: discovery, prioritization, requirements, launch, and post-launch iteration.
Evangelize data-driven and AI-driven decision-making across the organization.
Mentor junior PMs and contribute to product process and best practices (especially at the Staff level).
Maintain a strong personal base of knowledge on data platform technology, industry practices, trends, and emerging issues.
What You'll Need
Education
Master's Degree in Statistics, Analytics, Mathematics, Economics, or a related quantitative field (preferred).
Experience
8+ years of product management experience (3+ years as a Data Analyst/similar role supporting cross-functional global business units, for candidates coming from an analytics background), with at least 2–3 years focused on data platforms, analytics, or AI/ML products.
Demonstrated experience shipping AI/ML-powered features or products (e.g., recommendation systems, predictive models, LLM-based applications, automation tools) — this is required.
Proven track record partnering closely with data engineering teams on data infrastructure, pipelines, or platform-level products.
Experience working directly with business stakeholders to translate ambiguous needs into structured product requirements.
Experience building customer-centric data products, sales-centric analytic products, and executive metrics/reporting.
Experience with data from the Customer Experience and Sales domains.
Experience in the data center domain and knowledge of data center products are nice-to-have.
Skills
Strong technical fluency: comfortable discussing data architecture, ETL/ELT pipelines, data modeling, and ML/AI concepts with engineering teams.
Strong statistical and data analysis skills, including regressions, classification, anomaly detection, and hypothesis testing, with experience applying these techniques in real analyses.
Excellent communication and stakeholder management skills; able to flex between technical depth and business-level storytelling.
Strong analytical skills in breaking down complex problems, processes, and systems to propose solutions.
Ability to document and prototype business use cases and data flows.
Strong quantitative skills; comfortable with SQL and interpreting data to drive decisions.
Experience with agile product development practices, roadmap planning, and prioritization frameworks.
Familiarity with the AI/ML lifecycle (data prep, model training/evaluation, deployment, monitoring) and responsible AI considerations.
Proven experience building dashboards in Tableau, Power BI, QlikView, or similar tools.
Ability to understand complex data models and connect to varied data sources such as SFDC, Exasol, Google BigQuery, and AWS.
Tableau certification is desirable, along with experience on Tableau Online (cloud), Tableau Server, and Tableau Prep.
Nice to Have
Prior experience as a data analyst, data engineer, or data scientist before transitioning into product.
Experience with generative AI / LLM-based product development.
Note - This is a business facing role we need this positionsupporting position to be remote and provide support during US hours (4:00 PM IST to 12:00 AM IST)
Equinix is committed to ensuring that our employment process is open to all individuals, including those with a disability. If you are a qualified candidate and need assistance or an accommodation, please let us know by completing this form.
Equinix is an Equal Employment Opportunity and, in the U.S., an Affirmative Action employer. All qualified applicants will receive consideration for employment without regard to unlawful consideration of race, color, religion, creed, national or ethnic origin, ancestry, place of birth, citizenship, sex, pregnancy / childbirth or related medical conditions, sexual orientation, gender identity or expression, marital or domestic partnership status, age, veteran or military status, physical or mental disability, medical condition, genetic information, political / organizational affiliation, status as a victim or family member of a victim of crime or abuse, or any other status protected by applicable law.
We use artificial intelligence in our hiring process. Learn more here.</t>
  </si>
  <si>
    <t xml:space="preserve">JD explicitly states: "This is a business facing role we need this position supporting position to be remote and provide support during US hours (4:00 PM IST to 12:00 AM IST)." (Awkward phrasing in the original — likely an editing artifact — but the remote confirmation is unambiguous.) remote_check returned not_remote ('other' at the time) despite this explicit line.</t>
  </si>
  <si>
    <t xml:space="preserve">ip_signal_unclear</t>
  </si>
  <si>
    <t xml:space="preserve">ip_remote_stated_but_badly_worded</t>
  </si>
  <si>
    <t xml:space="preserve">The second of the 2 confirmed real remote_check misses (Session 30, 2026-08-10 audit) behind D-149. Same purpose as GC-002: verify D-149's reasoning-before-verdict reorder actually changes the verdict, not just adds reasoning text around the same wrong answer. Tests remoteCheckPrompt (senior-titled role).</t>
  </si>
  <si>
    <t xml:space="preserve">GC-004</t>
  </si>
  <si>
    <t xml:space="preserve">Interview Kickstart</t>
  </si>
  <si>
    <t xml:space="preserve">Associate Product Manager</t>
  </si>
  <si>
    <t xml:space="preserve">Let's start with who we are:
Interviews can be hard. And when it comes to the top tech companies like Google, Facebook, Netflix, etc., they can be downright brutal. Most candidates don’t make it simply because they don’t prepare well enough. IK helps candidates nail the toughest tech interviews. At IK, current and former hiring managers at these top companies take candidates through an intense prep course to prepare them to crack the toughest Technical interviews. You could think of us as ‘the everything store’ for career transitions and interview skill development.
How do we do that, you ask?
We have a structured way of helping folks crack interviews-
Career accelerator course
End-to-end courses + platform
More than 750+ instructors from Google, FB, Amazon, Netflix, Dropbox, and other top Silicon Valley companies.
And, to date, we have trained over 27000+ engineers!
What’s more exciting is that we are completely remote and hiring the best people we can find regardless of geo.
Sounds interesting? Then here’s some more information about the role
Position Overview
We’re looking for an Associate Product Manager (APM) to join our Product Management team at IK. In this role, you’ll support the discovery, development, and improvement of products that help users succeed in their career journeys. You’ll work closely with engineering, design, and other cross-functional teams to define problems, shape solutions, and deliver meaningful user experiences.
This role is ideal for someone early in their product career who is curious, structured in their thinking, and excited to learn how great products are built
Responsibilities:
Support the end-to-end product lifecycle—from problem discovery to delivery and iteration
Work with engineers and designers to define requirements, clarify scope, and prioritize work
Gather and synthesize user feedback, product data, and internal inputs to inform decisions
Help define product goals, success metrics, and release plans
Assist with competitive research and market understanding to improve product direction
Participate in agile ceremonies such as sprint planning, stand-ups, and retrospectives
Advocate for user needs while balancing business and technical constraints
What would Excite us :
Bachelor’s or Master’s degree in Business, Marketing, Computer Science, or a related field.
1-3 years of experience in product management, business analysis, or a growth-focused role in a tech environment.
Hands-on AI experience is mandatory. Candidates should have built AI-powered applications or workflows using tools like Claude, Supabase, Vercel, Lovable (or similar), be data-driven, and be able to demonstrate their contributions; experience with AI Voice Bots or AI Support Agents is a strong plus.
Strong analytical and problem-solving skills with a data-driven approach.
Excellent communication and collaboration skills for effective cross-functional teamwork.
A deep interest in technology, product development, and market trends.
Agile and adaptable, with the ability to thrive in a fast-paced and evolving tech landscape.
What would excite you?
Join a forward-thinking company where innovation and growth are paramount.
Collaborate with a world-class team on impactful projects.
Play a key role in the direction and success of diverse tech products.
Enjoy a competitive compensation package in a supportive and dynamic work environment
Complete ownership; there is minimal management and extreme autonomy</t>
  </si>
  <si>
    <t xml:space="preserve">JD: "we are completely remote and hiring the best people we can find regardless of geo" — no region restriction, open to India.</t>
  </si>
  <si>
    <t xml:space="preserve">real_prod_case</t>
  </si>
  <si>
    <t xml:space="preserve">Happy-path baseline for remote_type: clean, unambiguous remote-anywhere posting. Regression guard so a future prompt change can't silently start misreading the easy 90% case. Tests classifyPrompt (junior-titled role). Human-verified by Sakshi against the pulled DB row before use — see Session 36.</t>
  </si>
  <si>
    <t xml:space="preserve">GC-005</t>
  </si>
  <si>
    <t xml:space="preserve">geo_explicit</t>
  </si>
  <si>
    <t xml:space="preserve">false-positive</t>
  </si>
  <si>
    <t xml:space="preserve">JD explicitly addresses eligibility rather than staying silent: "hiring the best people we can find regardless of geo" is an affirmative worldwide statement, not an absence of one.</t>
  </si>
  <si>
    <t xml:space="preserve">Happy-path baseline for geo_explicit=true (explicit-eligibility case, contrasts with GC-007's geo_explicit=false silent case). Tests classifyPrompt.</t>
  </si>
  <si>
    <t xml:space="preserve">GC-006</t>
  </si>
  <si>
    <t xml:space="preserve">is_ai</t>
  </si>
  <si>
    <t xml:space="preserve">ai</t>
  </si>
  <si>
    <t xml:space="preserve">JD: "Hands-on AI experience is mandatory... built AI-powered applications or workflows using tools like Claude, Supabase, Vercel, Lovable." NOTE: the product itself (interview-prep courses) is not AI-centered — only the role's required skillset is. Borderline call, flagged for Sakshi's explicit confirmation before treating as settled ground truth (D-50: human verdict is authoritative, not the model's).</t>
  </si>
  <si>
    <t xml:space="preserve">FLAGGED, NOT YET CONFIRMED: is_ai here hinges on whether 'role requires AI-building skills' counts as 'product or role centers on AI/ML/LLMs' per the rubric's own wording — the product itself doesn't. Needs Sakshi's explicit sign-off before this row is trusted as a happy-path baseline rather than reclassified as a diagnosed edge case.</t>
  </si>
  <si>
    <t xml:space="preserve">GC-007</t>
  </si>
  <si>
    <t xml:space="preserve">technical_depth</t>
  </si>
  <si>
    <t xml:space="preserve">JD requires hands-on building of "AI-powered applications or workflows" with specific tools (Claude, Supabase, Vercel, Lovable) — closer to rubric's depth-5 ("writes queries/code, deep ML/infra fluency") than a typical APM, but not full engineering ownership. Judgment call within a plausible range (3-5); not a single unambiguous integer.</t>
  </si>
  <si>
    <t xml:space="preserve">Happy-path candidate for technical_depth, but the exact integer is a judgment call, not a citable fact — treat expected_value as approximate (3-5 all defensible) rather than an exact-match target unless Sakshi commits to one number.</t>
  </si>
  <si>
    <t xml:space="preserve">GC-008</t>
  </si>
  <si>
    <t xml:space="preserve">Cloud Security Web</t>
  </si>
  <si>
    <t xml:space="preserve">Associate Product Manager - Product Operations &amp; Adoption</t>
  </si>
  <si>
    <t xml:space="preserve">EchoPad.ai is building AI-powered healthcare products that automate clinical documentation, patient communication, and operational workflows.
Location: Remote (India)
Role: Associate Product Manager - Product Operations &amp; Adoption
We are looking for someone very strong in:
Customer onboarding and pilot management
Product usage analysis and reporting
QA, feedback collection, and issue prioritization
Coordinating across customers, product, and engineering
Driving product adoption and customer success
We are looking for strong executors who can demonstrate relevant projects, campaigns, or measurable results. Candidates must be able to contribute from day one and work with high ownership.
Preferred: SQL, SaaS onboarding, dashboard creation, and healthcare operations.
Company: https://echopad.ai</t>
  </si>
  <si>
    <t xml:space="preserve">JD: "Location: Remote (India)" — explicit and unambiguous.</t>
  </si>
  <si>
    <t xml:space="preserve">Happy-path baseline for remote_type, contrast case to GC-004: same India-remote pool, different company/domain (healthcare SaaS). Tests classifyPrompt.</t>
  </si>
  <si>
    <t xml:space="preserve">GC-009</t>
  </si>
  <si>
    <t xml:space="preserve">JD: "Location: Remote (India)" names the region directly.</t>
  </si>
  <si>
    <t xml:space="preserve">Happy-path baseline for geo_explicit=true, cleanest possible case (region named directly in a labeled Location field, no inference needed).</t>
  </si>
  <si>
    <t xml:space="preserve">GC-010</t>
  </si>
  <si>
    <t xml:space="preserve">JD: "EchoPad.ai is building AI-powered healthcare products that automate clinical documentation..." — the product itself is explicitly AI-centered, not just the role's required skills.</t>
  </si>
  <si>
    <t xml:space="preserve">Happy-path baseline for is_ai=ai, and the cleaner contrast to GC-006's borderline case: here the PRODUCT is AI-centered by the JD's own words, not just the role's skill requirements.</t>
  </si>
  <si>
    <t xml:space="preserve">GC-011</t>
  </si>
  <si>
    <t xml:space="preserve">is_technical</t>
  </si>
  <si>
    <t xml:space="preserve">non_technical</t>
  </si>
  <si>
    <t xml:space="preserve">JD lists onboarding, usage analysis/reporting, QA/feedback triage, and cross-team coordination as the core duties; SQL and dashboarding appear only under "Preferred," not required.</t>
  </si>
  <si>
    <t xml:space="preserve">Happy-path baseline for is_technical=non_technical, contrast to GC-006/007's technical IK posting.</t>
  </si>
  <si>
    <t xml:space="preserve">GC-012</t>
  </si>
  <si>
    <t xml:space="preserve">JD lists SQL/dashboard creation only under "Preferred," not required — the rubric's own depth-3 example is "reads dashboards, writes basic SQL," which is closer to what's described here than depth-2's "pure stakeholder/ops PM." FLAGGED: this row's expected_value (2) may actually undershoot the rubric's own depth-3 anchor — needs Sakshi's read before treating as settled.</t>
  </si>
  <si>
    <t xml:space="preserve">FLAGGED, NOT YET CONFIRMED: technical_depth=2 vs. the rubric's own depth-3 example text look like they may be in tension for this exact JD (preferred-not-required SQL/dashboards). Resolve before trusting this row's expected_value as ground truth.</t>
  </si>
  <si>
    <t xml:space="preserve">GC-013</t>
  </si>
  <si>
    <t xml:space="preserve">Ethos</t>
  </si>
  <si>
    <t xml:space="preserve">Expert Opportunity - Associate Product Manager</t>
  </si>
  <si>
    <t xml:space="preserve">About This Opportunity
We're working with a leading foundational AI lab to find experienced associate product managers at top technology companies who can help train their latest language model on professional presentation and slide deck tasks.
We're looking for APMs with 4+ years shipping products and presenting strategy, roadmaps, and reviews to create, evaluate, and refine AI-generated presentations and slide decks across core workflows: product strategy decks, roadmap presentations, product review documents, launch readiness decks, executive check-ins, and OKR review materials.
Compensation: $80/hour
Commitment: Flexible, 5-20 hours per week (or more if desired)
Location: Fully remote, work on your own schedule
Start date: ASAP
Qualifications
4+ years as a product manager at a top technology company
Track record of presenting product strategy to executives and cross-functional teams
Expert-level PowerPoint and slide craftsmanship, with excellent written communication and attention to detail
About Ethos
Ethos is a new expert network built by a McKinsey/SoftBank/DeepMind team and backed by world-leading investors like General Catalyst. We connect experts with investors and consultancies for paid expert calls, speaking engagements, and advisory opportunities.
Key Requirements
4+ years as a product manager at a top technology company
Track record of presenting product strategy to executives and cross-functional teams
Expert-level PowerPoint and slide craftsmanship, with excellent written communication and attention to detail</t>
  </si>
  <si>
    <t xml:space="preserve">No explicit region named anywhere in the JD ("Fully remote, work on your own schedule" states no geographic restriction) — this is the fail-open default path (remote_india + geo_explicit=false) confirmed correct, not an explicit-eligibility case.</t>
  </si>
  <si>
    <t xml:space="preserve">Confirms the fail-open default (classify.ts / D-75's geoRecheckPrompt trigger condition) lands correctly on a genuinely silent-on-geography posting — this is the specific mechanism GC-005/GC-009 don't test, since both of those have explicit region statements.</t>
  </si>
  <si>
    <t xml:space="preserve">GC-014</t>
  </si>
  <si>
    <t xml:space="preserve">JD never names India, Asia, or "worldwide" — "Fully remote, work on your own schedule" states no restriction but also names no eligible region, which the rubric treats as silence, not an explicit statement.</t>
  </si>
  <si>
    <t xml:space="preserve">Companion row to GC-013 — confirms geo_explicit correctly reads FALSE here (silence) rather than TRUE, which is what would incorrectly skip the fail-open safety net (geoRecheckPrompt, D-75).</t>
  </si>
  <si>
    <t xml:space="preserve">GC-015</t>
  </si>
  <si>
    <t xml:space="preserve">JD: "We're working with a leading foundational AI lab... help train their latest language model" — the role itself is AI-lab-facing work (RLHF-style evaluation of AI-generated output), unambiguous.</t>
  </si>
  <si>
    <t xml:space="preserve">Happy-path baseline for is_ai=ai — third distinct flavor of AI-relatedness after GC-006 (role needs AI skills, borderline) and GC-010 (product is AI, clean): here the WORK is literally training an AI lab's model, a third clean case.</t>
  </si>
  <si>
    <t xml:space="preserve">Section</t>
  </si>
  <si>
    <t xml:space="preserve">Column</t>
  </si>
  <si>
    <t xml:space="preserve">Notes (technical)</t>
  </si>
  <si>
    <t xml:space="preserve">In Plain Language</t>
  </si>
  <si>
    <t xml:space="preserve">Identity</t>
  </si>
  <si>
    <t xml:space="preserve">Short stable ID, format GC-###.</t>
  </si>
  <si>
    <t xml:space="preserve">A name tag for the row (GC-001, GC-002...) so you can refer to a specific test case.</t>
  </si>
  <si>
    <t xml:space="preserve">For quick human lookup only — not used by the prompt.</t>
  </si>
  <si>
    <t xml:space="preserve">Just there so a human recognizes the row at a glance. The AI never sees this.</t>
  </si>
  <si>
    <t xml:space="preserve">Input</t>
  </si>
  <si>
    <t xml:space="preserve">Exactly what gets passed into classifyPrompt / remoteCheckPrompt.</t>
  </si>
  <si>
    <t xml:space="preserve">The job title, same as what the real posting shows.</t>
  </si>
  <si>
    <t xml:space="preserve">The posting's own location field, same as what the real posting shows.</t>
  </si>
  <si>
    <t xml:space="preserve">Exactly what gets passed into classifyPrompt / remoteCheckPrompt. Usually the longest cell in the row.</t>
  </si>
  <si>
    <t xml:space="preserve">The full job description text — same as what the real posting shows.</t>
  </si>
  <si>
    <t xml:space="preserve">Test target</t>
  </si>
  <si>
    <t xml:space="preserve">Which of classifyPrompt's output keys this row is checking (e.g. remote_type, salary_status). One row tests ONE field.</t>
  </si>
  <si>
    <t xml:space="preserve">What question this specific row is checking — not the whole AI output, just one part of it.</t>
  </si>
  <si>
    <t xml:space="preserve">The correct answer, verified by a human.</t>
  </si>
  <si>
    <t xml:space="preserve">What the AI SHOULD say for field_under_test, according to a human who checked.</t>
  </si>
  <si>
    <t xml:space="preserve">Grading</t>
  </si>
  <si>
    <t xml:space="preserve">Quote or close paraphrase of the JD line that proves expected_value. Keep it short and citeable.</t>
  </si>
  <si>
    <t xml:space="preserve">The proof — a short quote from the posting showing why the expected answer is correct.</t>
  </si>
  <si>
    <t xml:space="preserve">Tags — input pattern</t>
  </si>
  <si>
    <t xml:space="preserve">'diagnosed' (a pattern was found and named), 'not_applicable' (checked — nothing tricky in the input), or 'not_yet_diagnosed' (this angle hasn't been checked for this case). Never blank.</t>
  </si>
  <si>
    <t xml:space="preserve">Was anything actually tricky in the job posting? diagnosed = yes, found it. not_applicable = checked, nothing tricky. not_yet_diagnosed = nobody's looked yet.</t>
  </si>
  <si>
    <t xml:space="preserve">The short, structured umbrella category the specific input_pattern belongs to (e.g. ip_location_conflict). Same diagnosed-status gating as input_pattern — filled in only when input_pattern_status = 'diagnosed'. Exists so you can roll up / filter / chart by family without reading every specific slug. See the "Failure Categories" sheet for definitions. (D-155)</t>
  </si>
  <si>
    <t xml:space="preserve">The BROAD family this tricky-posting case belongs to (e.g. 'a location conflict of some kind') — short and consistent across cases, so you can group similar failures without reading the full specific description each time.</t>
  </si>
  <si>
    <t xml:space="preserve">The specific slug naming the exact pattern — filled in ONLY when input_pattern_status = 'diagnosed'. Prefixed ip_ (e.g. ip_location_field_contradicts_jd_text) so the value is self-identifying even quoted out of context. Paired with input_pattern_family (the broader umbrella this specific case belongs to). See the "Failure Categories" sheet for definitions. (D-155)</t>
  </si>
  <si>
    <t xml:space="preserve">WHAT was tricky about the posting, if anything, spelled out in full (e.g. 'the location field contradicts the JD text'). Only filled in when the status column says 'diagnosed'.</t>
  </si>
  <si>
    <t xml:space="preserve">Tags — root cause</t>
  </si>
  <si>
    <t xml:space="preserve">Same 3-value structure as input_pattern_status, but for whether the AI's own reasoning process was diagnosed as broken.</t>
  </si>
  <si>
    <t xml:space="preserve">Was the AI's THINKING PROCESS itself broken (regardless of the posting)? Same diagnosed / not_applicable / not_yet_diagnosed choices.</t>
  </si>
  <si>
    <t xml:space="preserve">The slug naming the mechanism — filled in ONLY when root_cause_status = 'diagnosed' (e.g. reasoning_after_verdict). See the "Failure Categories" sheet for definitions.</t>
  </si>
  <si>
    <t xml:space="preserve">WHY the AI's reasoning failed, if diagnosed — e.g. it answers before it explains itself.</t>
  </si>
  <si>
    <t xml:space="preserve">Tags — other</t>
  </si>
  <si>
    <t xml:space="preserve">real_prod_case (+ decision_id like D-121 if it traces to a real logged case) or synthetic.</t>
  </si>
  <si>
    <t xml:space="preserve">Did this really happen in production, or was it built to test an edge case?</t>
  </si>
  <si>
    <t xml:space="preserve">false-positive (model said yes when it should say no — noise) or false-negative (model said no/missed when it should say yes — lost opportunity).</t>
  </si>
  <si>
    <t xml:space="preserve">If the AI gets this wrong, does it create noise (false-positive) or cost you a job you should have seen (false-negative)?</t>
  </si>
  <si>
    <t xml:space="preserve">Documentation</t>
  </si>
  <si>
    <t xml:space="preserve">Free-text narrative for a human reading the row later without full context.</t>
  </si>
  <si>
    <t xml:space="preserve">Plain-English note explaining why this case was added and what mistake it guards against.</t>
  </si>
  <si>
    <t xml:space="preserve">Results</t>
  </si>
  <si>
    <t xml:space="preserve">actual_output-{date} / pass_fail_output-{date}</t>
  </si>
  <si>
    <t xml:space="preserve">One pair of columns per prompt version actually tested — filled in per run, NOT authored up front. Column names follow &lt;slug&gt;_&lt;CLASSIFIER_VERSION&gt;_&lt;PROMPT_VERSION&gt;, pasted verbatim from the live constants in lib/ai/prompts.ts at the moment that version is actually run — never a hand-typed calendar date (D-154).</t>
  </si>
  <si>
    <t xml:space="preserve">The scoreboard. Each time a prompt version runs against this row, a new pair of columns records what it actually answered and whether that matched expected_value. The column's own name tells you exactly which code version produced that answer.</t>
  </si>
  <si>
    <t xml:space="preserve">Failure-category definitions (Title/Definition/Example for every input_pattern and root_cause value) live on the "Failure Categories" sheet, not here.</t>
  </si>
  <si>
    <t xml:space="preserve">Value</t>
  </si>
  <si>
    <t xml:space="preserve">Title</t>
  </si>
  <si>
    <t xml:space="preserve">Definition (does a NEW case belong here?)</t>
  </si>
  <si>
    <t xml:space="preserve">Example</t>
  </si>
  <si>
    <t xml:space="preserve">SECTION 1 — Status values (shared vocabulary for BOTH input_pattern_status and root_cause_status)</t>
  </si>
  <si>
    <t xml:space="preserve">input_pattern_status / root_cause_status</t>
  </si>
  <si>
    <t xml:space="preserve">Diagnosed</t>
  </si>
  <si>
    <t xml:space="preserve">A real cause was found and named for this axis. The matching value column (input_pattern if this is input_pattern_status; root_cause if this is root_cause_status) is filled in — go read it.</t>
  </si>
  <si>
    <t xml:space="preserve">GC-003 (Equinix): both status columns = diagnosed, so both input_pattern and root_cause are filled in.</t>
  </si>
  <si>
    <t xml:space="preserve">Not applicable</t>
  </si>
  <si>
    <t xml:space="preserve">This axis was checked, and it genuinely isn't a factor for this case. The matching value column stays blank ON PURPOSE — that blank is not missing data.</t>
  </si>
  <si>
    <t xml:space="preserve">GC-002 (Danaher): input_pattern_status = not_applicable — no JD-text trick, the failure is pure reasoning.</t>
  </si>
  <si>
    <t xml:space="preserve">Not yet diagnosed</t>
  </si>
  <si>
    <t xml:space="preserve">Nobody has actually checked this axis for this case. The matching value column is blank because the answer is UNKNOWN — this is different from not_applicable, which means checked-and-confirmed-absent.</t>
  </si>
  <si>
    <t xml:space="preserve">GC-001 (Kira): root_cause_status = not_yet_diagnosed — never separately tested whether reasoning-order also contributed.</t>
  </si>
  <si>
    <t xml:space="preserve">SECTION 2 — input_pattern_family (umbrella) and input_pattern (specific) values (only meaningful when input_pattern_status = diagnosed). Both are ip_-prefixed so either value is self-identifying if quoted without its column header. (D-155)</t>
  </si>
  <si>
    <t xml:space="preserve">Location conflict (family)</t>
  </si>
  <si>
    <t xml:space="preserve">Umbrella for any case where two sources of location/geo information about the posting disagree with each other (structured field vs. JD text, or JD text vs. itself). Covers ip_location_field_contradicts_jd_text and any future specific pattern of this shape.</t>
  </si>
  <si>
    <t xml:space="preserve">Signal unclear (family)</t>
  </si>
  <si>
    <t xml:space="preserve">Umbrella for any case where the relevant signal IS present in the JD but is hard to parse for reasons other than a contradiction — bad grammar, unusual placement, ambiguous wording. Covers ip_remote_stated_but_badly_worded and any future specific pattern of this shape.</t>
  </si>
  <si>
    <t xml:space="preserve">input_pattern (specific)</t>
  </si>
  <si>
    <t xml:space="preserve">Location field contradicts JD text</t>
  </si>
  <si>
    <t xml:space="preserve">Family: ip_location_conflict. The posting's own structured/derived location field disagrees with what the JD text itself says about eligible location. Belongs here when a location field (e.g. locations_derived) says one place, and the JD prose states a different, specific eligible location.</t>
  </si>
  <si>
    <t xml:space="preserve">Remote stated but badly worded</t>
  </si>
  <si>
    <t xml:space="preserve">Family: ip_signal_unclear. The JD DOES explicitly state remote eligibility, but the sentence is grammatically broken or oddly phrased in a way that could plausibly make the signal harder to parse than clean prose.</t>
  </si>
  <si>
    <t xml:space="preserve">SECTION 3 — root_cause values (only meaningful when root_cause_status = diagnosed)</t>
  </si>
  <si>
    <t xml:space="preserve">Reasoning after verdict</t>
  </si>
  <si>
    <t xml:space="preserve">The prompt's JSON schema lists the verdict field(s) before the reasoning field, so the model commits to an answer before generating any explanation — the 'reasoning' is post-hoc justification, not real deliberation. Belongs here only when this specific mechanism was actually traced (per D-149), not just assumed.</t>
  </si>
  <si>
    <t xml:space="preserve">GC-002, GC-003: root cause diagnosed in D-149 from the real Danaher/Equinix remote_check misses.</t>
  </si>
  <si>
    <t xml:space="preserve">Golden Dataset — Summary (auto-computed from the Golden Dataset sheet)</t>
  </si>
  <si>
    <t xml:space="preserve">Formulas read Golden Dataset!A2:T500 live — add rows there and this sheet updates on recalculation.</t>
  </si>
  <si>
    <t xml:space="preserve">Overall pass rate</t>
  </si>
  <si>
    <t xml:space="preserve">prompt baseline_v4_prompt-2026-08-13</t>
  </si>
  <si>
    <t xml:space="preserve">prompt reasoningredesign_TBD_TBD</t>
  </si>
  <si>
    <t xml:space="preserve">Pass rate</t>
  </si>
  <si>
    <t xml:space="preserve">Graded cases (n)</t>
  </si>
  <si>
    <t xml:space="preserve">False-negative / false-positive rate (by severity tag)</t>
  </si>
  <si>
    <t xml:space="preserve">False-negative rate (severity=false-negative, FAIL / graded)</t>
  </si>
  <si>
    <t xml:space="preserve">False-positive rate (severity=false-positive, FAIL / graded)</t>
  </si>
  <si>
    <t xml:space="preserve">Pass rate by field_under_test</t>
  </si>
  <si>
    <t xml:space="preserve">Pass rate by input_pattern</t>
  </si>
  <si>
    <t xml:space="preserve">Pass rate by input_pattern_family</t>
  </si>
  <si>
    <t xml:space="preserve">Pass rate by root_cause</t>
  </si>
  <si>
    <t xml:space="preserve">Before / after comparison</t>
  </si>
  <si>
    <t xml:space="preserve">Prompt version</t>
  </si>
  <si>
    <t xml:space="preserve">False-negative rate</t>
  </si>
  <si>
    <t xml:space="preserve">baseline_v4_prompt-2026-08-13</t>
  </si>
  <si>
    <t xml:space="preserve">reasoningredesign_TBD_TBD</t>
  </si>
  <si>
    <t xml:space="preserve">Note: technical_depth / years_experience MAE formulas intentionally not added — no rows currently test those fields. Add once such rows exist.</t>
  </si>
  <si>
    <t xml:space="preserve">Case-level detail — expected vs. actual (what wrong answer was given, not just that it was wrong)</t>
  </si>
  <si>
    <t xml:space="preserve">output (baseline_v4_prompt-2026-08-13)</t>
  </si>
  <si>
    <t xml:space="preserve">pass/fail (baseline_v4_prompt-2026-08-13)</t>
  </si>
  <si>
    <t xml:space="preserve">output (reasoningredesign_TBD_TBD)</t>
  </si>
  <si>
    <t xml:space="preserve">pass/fail (reasoningredesign_TBD_TBD)</t>
  </si>
</sst>
</file>

<file path=xl/styles.xml><?xml version="1.0" encoding="utf-8"?>
<styleSheet xmlns="http://schemas.openxmlformats.org/spreadsheetml/2006/main">
  <numFmts count="2">
    <numFmt numFmtId="164" formatCode="General"/>
    <numFmt numFmtId="165" formatCode="0.0%"/>
  </numFmts>
  <fonts count="11">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1"/>
      <name val="Arial"/>
      <family val="0"/>
      <charset val="1"/>
    </font>
    <font>
      <b val="true"/>
      <i val="true"/>
      <sz val="10"/>
      <name val="Arial"/>
      <family val="0"/>
      <charset val="1"/>
    </font>
    <font>
      <b val="true"/>
      <sz val="14"/>
      <name val="Arial"/>
      <family val="0"/>
      <charset val="1"/>
    </font>
    <font>
      <i val="true"/>
      <sz val="9"/>
      <name val="Arial"/>
      <family val="0"/>
      <charset val="1"/>
    </font>
    <font>
      <sz val="11"/>
      <name val="Arial"/>
      <family val="0"/>
      <charset val="1"/>
    </font>
  </fonts>
  <fills count="6">
    <fill>
      <patternFill patternType="none"/>
    </fill>
    <fill>
      <patternFill patternType="gray125"/>
    </fill>
    <fill>
      <patternFill patternType="solid">
        <fgColor rgb="FFD9D9D9"/>
        <bgColor rgb="FFE8EEF7"/>
      </patternFill>
    </fill>
    <fill>
      <patternFill patternType="solid">
        <fgColor rgb="FFF2F2F2"/>
        <bgColor rgb="FFEFEFEF"/>
      </patternFill>
    </fill>
    <fill>
      <patternFill patternType="solid">
        <fgColor rgb="FFEFEFEF"/>
        <bgColor rgb="FFF2F2F2"/>
      </patternFill>
    </fill>
    <fill>
      <patternFill patternType="solid">
        <fgColor rgb="FFE8EEF7"/>
        <bgColor rgb="FFEFEFE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false" indent="0" shrinkToFit="false"/>
      <protection locked="true" hidden="false"/>
    </xf>
    <xf numFmtId="164" fontId="10" fillId="5"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FC7CE"/>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FEFEF"/>
      <rgbColor rgb="FFE8EE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0"/>
    <col collapsed="false" customWidth="true" hidden="false" outlineLevel="0" max="3" min="3" style="1" width="22"/>
    <col collapsed="false" customWidth="true" hidden="false" outlineLevel="0" max="4" min="4" style="1" width="16"/>
    <col collapsed="false" customWidth="true" hidden="false" outlineLevel="0" max="5" min="5" style="1" width="55"/>
    <col collapsed="false" customWidth="true" hidden="false" outlineLevel="0" max="6" min="6" style="1" width="20"/>
    <col collapsed="false" customWidth="true" hidden="false" outlineLevel="0" max="7" min="7" style="1" width="22"/>
    <col collapsed="false" customWidth="true" hidden="false" outlineLevel="0" max="8" min="8" style="1" width="16"/>
    <col collapsed="false" customWidth="true" hidden="false" outlineLevel="0" max="9" min="9" style="1" width="40"/>
    <col collapsed="false" customWidth="true" hidden="false" outlineLevel="0" max="10" min="10" style="1" width="20"/>
    <col collapsed="false" customWidth="true" hidden="false" outlineLevel="0" max="11" min="11" style="1" width="18"/>
    <col collapsed="false" customWidth="true" hidden="false" outlineLevel="0" max="12" min="12" style="1" width="30"/>
    <col collapsed="false" customWidth="true" hidden="false" outlineLevel="0" max="13" min="13" style="1" width="20"/>
    <col collapsed="false" customWidth="true" hidden="false" outlineLevel="0" max="14" min="14" style="1" width="40"/>
    <col collapsed="false" customWidth="true" hidden="false" outlineLevel="0" max="16" min="15" style="1" width="30"/>
    <col collapsed="false" customWidth="true" hidden="false" outlineLevel="0" max="17" min="17" style="1" width="16"/>
    <col collapsed="false" customWidth="true" hidden="false" outlineLevel="0" max="18" min="18" style="1" width="14"/>
    <col collapsed="false" customWidth="true" hidden="false" outlineLevel="0" max="19" min="19" style="1" width="16"/>
    <col collapsed="false" customWidth="true" hidden="false" outlineLevel="0" max="20" min="20" style="1" width="14"/>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customFormat="false" ht="255" hidden="false" customHeight="true" outlineLevel="0" collapsed="false">
      <c r="A2" s="3" t="s">
        <v>20</v>
      </c>
      <c r="B2" s="3" t="s">
        <v>21</v>
      </c>
      <c r="C2" s="3" t="s">
        <v>22</v>
      </c>
      <c r="D2" s="3" t="s">
        <v>23</v>
      </c>
      <c r="E2" s="3" t="s">
        <v>24</v>
      </c>
      <c r="F2" s="3" t="s">
        <v>25</v>
      </c>
      <c r="G2" s="3" t="s">
        <v>26</v>
      </c>
      <c r="H2" s="3" t="s">
        <v>27</v>
      </c>
      <c r="I2" s="4" t="s">
        <v>28</v>
      </c>
      <c r="J2" s="3" t="s">
        <v>29</v>
      </c>
      <c r="K2" s="3" t="s">
        <v>30</v>
      </c>
      <c r="L2" s="3" t="s">
        <v>31</v>
      </c>
      <c r="M2" s="3" t="s">
        <v>32</v>
      </c>
      <c r="N2" s="3"/>
      <c r="O2" s="3" t="s">
        <v>33</v>
      </c>
      <c r="P2" s="4" t="s">
        <v>34</v>
      </c>
      <c r="Q2" s="3"/>
      <c r="R2" s="3"/>
      <c r="S2" s="3"/>
      <c r="T2" s="3"/>
    </row>
    <row r="3" customFormat="false" ht="225" hidden="false" customHeight="true" outlineLevel="0" collapsed="false">
      <c r="A3" s="3" t="s">
        <v>35</v>
      </c>
      <c r="B3" s="3" t="s">
        <v>36</v>
      </c>
      <c r="C3" s="3" t="s">
        <v>37</v>
      </c>
      <c r="D3" s="3" t="s">
        <v>38</v>
      </c>
      <c r="E3" s="3" t="s">
        <v>39</v>
      </c>
      <c r="F3" s="3" t="s">
        <v>25</v>
      </c>
      <c r="G3" s="3" t="s">
        <v>40</v>
      </c>
      <c r="H3" s="3" t="s">
        <v>27</v>
      </c>
      <c r="I3" s="4" t="s">
        <v>41</v>
      </c>
      <c r="J3" s="3" t="s">
        <v>42</v>
      </c>
      <c r="K3" s="3"/>
      <c r="L3" s="3"/>
      <c r="M3" s="3" t="s">
        <v>29</v>
      </c>
      <c r="N3" s="3" t="s">
        <v>43</v>
      </c>
      <c r="O3" s="3" t="s">
        <v>44</v>
      </c>
      <c r="P3" s="4" t="s">
        <v>45</v>
      </c>
      <c r="Q3" s="3"/>
      <c r="R3" s="3"/>
      <c r="S3" s="3"/>
      <c r="T3" s="3"/>
    </row>
    <row r="4" customFormat="false" ht="165" hidden="false" customHeight="true" outlineLevel="0" collapsed="false">
      <c r="A4" s="3" t="s">
        <v>46</v>
      </c>
      <c r="B4" s="3" t="s">
        <v>47</v>
      </c>
      <c r="C4" s="3" t="s">
        <v>48</v>
      </c>
      <c r="D4" s="3" t="s">
        <v>49</v>
      </c>
      <c r="E4" s="3" t="s">
        <v>50</v>
      </c>
      <c r="F4" s="3" t="s">
        <v>25</v>
      </c>
      <c r="G4" s="3" t="s">
        <v>40</v>
      </c>
      <c r="H4" s="3" t="s">
        <v>27</v>
      </c>
      <c r="I4" s="4" t="s">
        <v>51</v>
      </c>
      <c r="J4" s="3" t="s">
        <v>29</v>
      </c>
      <c r="K4" s="3" t="s">
        <v>52</v>
      </c>
      <c r="L4" s="3" t="s">
        <v>53</v>
      </c>
      <c r="M4" s="3" t="s">
        <v>29</v>
      </c>
      <c r="N4" s="3" t="s">
        <v>43</v>
      </c>
      <c r="O4" s="3" t="s">
        <v>44</v>
      </c>
      <c r="P4" s="4" t="s">
        <v>54</v>
      </c>
      <c r="Q4" s="3"/>
      <c r="R4" s="3"/>
      <c r="S4" s="3"/>
      <c r="T4" s="3"/>
    </row>
    <row r="5" customFormat="false" ht="150" hidden="false" customHeight="true" outlineLevel="0" collapsed="false">
      <c r="A5" s="3" t="s">
        <v>55</v>
      </c>
      <c r="B5" s="3" t="s">
        <v>56</v>
      </c>
      <c r="C5" s="3" t="s">
        <v>57</v>
      </c>
      <c r="D5" s="3" t="s">
        <v>49</v>
      </c>
      <c r="E5" s="3" t="s">
        <v>58</v>
      </c>
      <c r="F5" s="3" t="s">
        <v>25</v>
      </c>
      <c r="G5" s="3" t="s">
        <v>40</v>
      </c>
      <c r="H5" s="3" t="s">
        <v>27</v>
      </c>
      <c r="I5" s="4" t="s">
        <v>59</v>
      </c>
      <c r="J5" s="3" t="s">
        <v>42</v>
      </c>
      <c r="K5" s="3"/>
      <c r="L5" s="3"/>
      <c r="M5" s="3" t="s">
        <v>42</v>
      </c>
      <c r="N5" s="3"/>
      <c r="O5" s="3" t="s">
        <v>60</v>
      </c>
      <c r="P5" s="4" t="s">
        <v>61</v>
      </c>
      <c r="Q5" s="3"/>
      <c r="R5" s="3"/>
      <c r="S5" s="3"/>
      <c r="T5" s="3"/>
    </row>
    <row r="6" customFormat="false" ht="75" hidden="false" customHeight="true" outlineLevel="0" collapsed="false">
      <c r="A6" s="3" t="s">
        <v>62</v>
      </c>
      <c r="B6" s="3" t="s">
        <v>56</v>
      </c>
      <c r="C6" s="3" t="s">
        <v>57</v>
      </c>
      <c r="D6" s="3" t="s">
        <v>49</v>
      </c>
      <c r="E6" s="3" t="s">
        <v>58</v>
      </c>
      <c r="F6" s="3" t="s">
        <v>63</v>
      </c>
      <c r="G6" s="5" t="b">
        <f aca="false">TRUE()</f>
        <v>1</v>
      </c>
      <c r="H6" s="3" t="s">
        <v>64</v>
      </c>
      <c r="I6" s="4" t="s">
        <v>65</v>
      </c>
      <c r="J6" s="3" t="s">
        <v>42</v>
      </c>
      <c r="K6" s="3"/>
      <c r="L6" s="3"/>
      <c r="M6" s="3" t="s">
        <v>42</v>
      </c>
      <c r="N6" s="3"/>
      <c r="O6" s="3" t="s">
        <v>60</v>
      </c>
      <c r="P6" s="4" t="s">
        <v>66</v>
      </c>
      <c r="Q6" s="3"/>
      <c r="R6" s="3"/>
      <c r="S6" s="3"/>
      <c r="T6" s="3"/>
    </row>
    <row r="7" customFormat="false" ht="180" hidden="false" customHeight="true" outlineLevel="0" collapsed="false">
      <c r="A7" s="3" t="s">
        <v>67</v>
      </c>
      <c r="B7" s="3" t="s">
        <v>56</v>
      </c>
      <c r="C7" s="3" t="s">
        <v>57</v>
      </c>
      <c r="D7" s="3" t="s">
        <v>49</v>
      </c>
      <c r="E7" s="3" t="s">
        <v>58</v>
      </c>
      <c r="F7" s="3" t="s">
        <v>68</v>
      </c>
      <c r="G7" s="3" t="s">
        <v>69</v>
      </c>
      <c r="H7" s="3" t="s">
        <v>27</v>
      </c>
      <c r="I7" s="4" t="s">
        <v>70</v>
      </c>
      <c r="J7" s="3" t="s">
        <v>42</v>
      </c>
      <c r="K7" s="3"/>
      <c r="L7" s="3"/>
      <c r="M7" s="3" t="s">
        <v>42</v>
      </c>
      <c r="N7" s="3"/>
      <c r="O7" s="3" t="s">
        <v>60</v>
      </c>
      <c r="P7" s="4" t="s">
        <v>71</v>
      </c>
      <c r="Q7" s="3"/>
      <c r="R7" s="3"/>
      <c r="S7" s="3"/>
      <c r="T7" s="3"/>
    </row>
    <row r="8" customFormat="false" ht="135" hidden="false" customHeight="true" outlineLevel="0" collapsed="false">
      <c r="A8" s="3" t="s">
        <v>72</v>
      </c>
      <c r="B8" s="3" t="s">
        <v>56</v>
      </c>
      <c r="C8" s="3" t="s">
        <v>57</v>
      </c>
      <c r="D8" s="3" t="s">
        <v>49</v>
      </c>
      <c r="E8" s="3" t="s">
        <v>58</v>
      </c>
      <c r="F8" s="3" t="s">
        <v>73</v>
      </c>
      <c r="G8" s="3" t="n">
        <v>4</v>
      </c>
      <c r="H8" s="3" t="s">
        <v>64</v>
      </c>
      <c r="I8" s="4" t="s">
        <v>74</v>
      </c>
      <c r="J8" s="3" t="s">
        <v>42</v>
      </c>
      <c r="K8" s="3"/>
      <c r="L8" s="3"/>
      <c r="M8" s="3" t="s">
        <v>42</v>
      </c>
      <c r="N8" s="3"/>
      <c r="O8" s="3" t="s">
        <v>60</v>
      </c>
      <c r="P8" s="4" t="s">
        <v>75</v>
      </c>
      <c r="Q8" s="3"/>
      <c r="R8" s="3"/>
      <c r="S8" s="3"/>
      <c r="T8" s="3"/>
    </row>
    <row r="9" customFormat="false" ht="90" hidden="false" customHeight="true" outlineLevel="0" collapsed="false">
      <c r="A9" s="3" t="s">
        <v>76</v>
      </c>
      <c r="B9" s="3" t="s">
        <v>77</v>
      </c>
      <c r="C9" s="3" t="s">
        <v>78</v>
      </c>
      <c r="D9" s="3" t="s">
        <v>23</v>
      </c>
      <c r="E9" s="3" t="s">
        <v>79</v>
      </c>
      <c r="F9" s="3" t="s">
        <v>25</v>
      </c>
      <c r="G9" s="3" t="s">
        <v>40</v>
      </c>
      <c r="H9" s="3" t="s">
        <v>27</v>
      </c>
      <c r="I9" s="4" t="s">
        <v>80</v>
      </c>
      <c r="J9" s="3" t="s">
        <v>42</v>
      </c>
      <c r="K9" s="3"/>
      <c r="L9" s="3"/>
      <c r="M9" s="3" t="s">
        <v>42</v>
      </c>
      <c r="N9" s="3"/>
      <c r="O9" s="3" t="s">
        <v>60</v>
      </c>
      <c r="P9" s="4" t="s">
        <v>81</v>
      </c>
      <c r="Q9" s="3"/>
      <c r="R9" s="3"/>
      <c r="S9" s="3"/>
      <c r="T9" s="3"/>
    </row>
    <row r="10" customFormat="false" ht="75" hidden="false" customHeight="true" outlineLevel="0" collapsed="false">
      <c r="A10" s="3" t="s">
        <v>82</v>
      </c>
      <c r="B10" s="3" t="s">
        <v>77</v>
      </c>
      <c r="C10" s="3" t="s">
        <v>78</v>
      </c>
      <c r="D10" s="3" t="s">
        <v>23</v>
      </c>
      <c r="E10" s="3" t="s">
        <v>79</v>
      </c>
      <c r="F10" s="3" t="s">
        <v>63</v>
      </c>
      <c r="G10" s="5" t="b">
        <f aca="false">TRUE()</f>
        <v>1</v>
      </c>
      <c r="H10" s="3" t="s">
        <v>64</v>
      </c>
      <c r="I10" s="4" t="s">
        <v>83</v>
      </c>
      <c r="J10" s="3" t="s">
        <v>42</v>
      </c>
      <c r="K10" s="3"/>
      <c r="L10" s="3"/>
      <c r="M10" s="3" t="s">
        <v>42</v>
      </c>
      <c r="N10" s="3"/>
      <c r="O10" s="3" t="s">
        <v>60</v>
      </c>
      <c r="P10" s="4" t="s">
        <v>84</v>
      </c>
      <c r="Q10" s="3"/>
      <c r="R10" s="3"/>
      <c r="S10" s="3"/>
      <c r="T10" s="3"/>
    </row>
    <row r="11" customFormat="false" ht="105" hidden="false" customHeight="true" outlineLevel="0" collapsed="false">
      <c r="A11" s="3" t="s">
        <v>85</v>
      </c>
      <c r="B11" s="3" t="s">
        <v>77</v>
      </c>
      <c r="C11" s="3" t="s">
        <v>78</v>
      </c>
      <c r="D11" s="3" t="s">
        <v>23</v>
      </c>
      <c r="E11" s="3" t="s">
        <v>79</v>
      </c>
      <c r="F11" s="3" t="s">
        <v>68</v>
      </c>
      <c r="G11" s="3" t="s">
        <v>69</v>
      </c>
      <c r="H11" s="3" t="s">
        <v>27</v>
      </c>
      <c r="I11" s="4" t="s">
        <v>86</v>
      </c>
      <c r="J11" s="3" t="s">
        <v>42</v>
      </c>
      <c r="K11" s="3"/>
      <c r="L11" s="3"/>
      <c r="M11" s="3" t="s">
        <v>42</v>
      </c>
      <c r="N11" s="3"/>
      <c r="O11" s="3" t="s">
        <v>60</v>
      </c>
      <c r="P11" s="4" t="s">
        <v>87</v>
      </c>
      <c r="Q11" s="3"/>
      <c r="R11" s="3"/>
      <c r="S11" s="3"/>
      <c r="T11" s="3"/>
    </row>
    <row r="12" customFormat="false" ht="75" hidden="false" customHeight="true" outlineLevel="0" collapsed="false">
      <c r="A12" s="3" t="s">
        <v>88</v>
      </c>
      <c r="B12" s="3" t="s">
        <v>77</v>
      </c>
      <c r="C12" s="3" t="s">
        <v>78</v>
      </c>
      <c r="D12" s="3" t="s">
        <v>23</v>
      </c>
      <c r="E12" s="3" t="s">
        <v>79</v>
      </c>
      <c r="F12" s="3" t="s">
        <v>89</v>
      </c>
      <c r="G12" s="3" t="s">
        <v>90</v>
      </c>
      <c r="H12" s="3" t="s">
        <v>64</v>
      </c>
      <c r="I12" s="4" t="s">
        <v>91</v>
      </c>
      <c r="J12" s="3" t="s">
        <v>42</v>
      </c>
      <c r="K12" s="3"/>
      <c r="L12" s="3"/>
      <c r="M12" s="3" t="s">
        <v>42</v>
      </c>
      <c r="N12" s="3"/>
      <c r="O12" s="3" t="s">
        <v>60</v>
      </c>
      <c r="P12" s="4" t="s">
        <v>92</v>
      </c>
      <c r="Q12" s="3"/>
      <c r="R12" s="3"/>
      <c r="S12" s="3"/>
      <c r="T12" s="3"/>
    </row>
    <row r="13" customFormat="false" ht="150" hidden="false" customHeight="true" outlineLevel="0" collapsed="false">
      <c r="A13" s="3" t="s">
        <v>93</v>
      </c>
      <c r="B13" s="3" t="s">
        <v>77</v>
      </c>
      <c r="C13" s="3" t="s">
        <v>78</v>
      </c>
      <c r="D13" s="3" t="s">
        <v>23</v>
      </c>
      <c r="E13" s="3" t="s">
        <v>79</v>
      </c>
      <c r="F13" s="3" t="s">
        <v>73</v>
      </c>
      <c r="G13" s="3" t="n">
        <v>2</v>
      </c>
      <c r="H13" s="3" t="s">
        <v>27</v>
      </c>
      <c r="I13" s="4" t="s">
        <v>94</v>
      </c>
      <c r="J13" s="3" t="s">
        <v>42</v>
      </c>
      <c r="K13" s="3"/>
      <c r="L13" s="3"/>
      <c r="M13" s="3" t="s">
        <v>42</v>
      </c>
      <c r="N13" s="3"/>
      <c r="O13" s="3" t="s">
        <v>60</v>
      </c>
      <c r="P13" s="4" t="s">
        <v>95</v>
      </c>
      <c r="Q13" s="3"/>
      <c r="R13" s="3"/>
      <c r="S13" s="3"/>
      <c r="T13" s="3"/>
    </row>
    <row r="14" customFormat="false" ht="135" hidden="false" customHeight="true" outlineLevel="0" collapsed="false">
      <c r="A14" s="3" t="s">
        <v>96</v>
      </c>
      <c r="B14" s="3" t="s">
        <v>97</v>
      </c>
      <c r="C14" s="3" t="s">
        <v>98</v>
      </c>
      <c r="D14" s="3" t="s">
        <v>23</v>
      </c>
      <c r="E14" s="3" t="s">
        <v>99</v>
      </c>
      <c r="F14" s="3" t="s">
        <v>25</v>
      </c>
      <c r="G14" s="3" t="s">
        <v>40</v>
      </c>
      <c r="H14" s="3" t="s">
        <v>27</v>
      </c>
      <c r="I14" s="4" t="s">
        <v>100</v>
      </c>
      <c r="J14" s="3" t="s">
        <v>42</v>
      </c>
      <c r="K14" s="3"/>
      <c r="L14" s="3"/>
      <c r="M14" s="3" t="s">
        <v>42</v>
      </c>
      <c r="N14" s="3"/>
      <c r="O14" s="3" t="s">
        <v>60</v>
      </c>
      <c r="P14" s="4" t="s">
        <v>101</v>
      </c>
      <c r="Q14" s="3"/>
      <c r="R14" s="3"/>
      <c r="S14" s="3"/>
      <c r="T14" s="3"/>
    </row>
    <row r="15" customFormat="false" ht="105" hidden="false" customHeight="true" outlineLevel="0" collapsed="false">
      <c r="A15" s="3" t="s">
        <v>102</v>
      </c>
      <c r="B15" s="3" t="s">
        <v>97</v>
      </c>
      <c r="C15" s="3" t="s">
        <v>98</v>
      </c>
      <c r="D15" s="3" t="s">
        <v>23</v>
      </c>
      <c r="E15" s="3" t="s">
        <v>99</v>
      </c>
      <c r="F15" s="3" t="s">
        <v>63</v>
      </c>
      <c r="G15" s="5" t="b">
        <f aca="false">FALSE()</f>
        <v>0</v>
      </c>
      <c r="H15" s="3" t="s">
        <v>64</v>
      </c>
      <c r="I15" s="4" t="s">
        <v>103</v>
      </c>
      <c r="J15" s="3" t="s">
        <v>42</v>
      </c>
      <c r="K15" s="3"/>
      <c r="L15" s="3"/>
      <c r="M15" s="3" t="s">
        <v>42</v>
      </c>
      <c r="N15" s="3"/>
      <c r="O15" s="3" t="s">
        <v>60</v>
      </c>
      <c r="P15" s="4" t="s">
        <v>104</v>
      </c>
      <c r="Q15" s="3"/>
      <c r="R15" s="3"/>
      <c r="S15" s="3"/>
      <c r="T15" s="3"/>
    </row>
    <row r="16" customFormat="false" ht="120" hidden="false" customHeight="true" outlineLevel="0" collapsed="false">
      <c r="A16" s="3" t="s">
        <v>105</v>
      </c>
      <c r="B16" s="3" t="s">
        <v>97</v>
      </c>
      <c r="C16" s="3" t="s">
        <v>98</v>
      </c>
      <c r="D16" s="3" t="s">
        <v>23</v>
      </c>
      <c r="E16" s="3" t="s">
        <v>99</v>
      </c>
      <c r="F16" s="3" t="s">
        <v>68</v>
      </c>
      <c r="G16" s="3" t="s">
        <v>69</v>
      </c>
      <c r="H16" s="3" t="s">
        <v>27</v>
      </c>
      <c r="I16" s="4" t="s">
        <v>106</v>
      </c>
      <c r="J16" s="3" t="s">
        <v>42</v>
      </c>
      <c r="K16" s="3"/>
      <c r="L16" s="3"/>
      <c r="M16" s="3" t="s">
        <v>42</v>
      </c>
      <c r="N16" s="3"/>
      <c r="O16" s="3" t="s">
        <v>60</v>
      </c>
      <c r="P16" s="4" t="s">
        <v>107</v>
      </c>
      <c r="Q16" s="3"/>
      <c r="R16" s="3"/>
      <c r="S16" s="3"/>
      <c r="T16" s="3"/>
    </row>
  </sheetData>
  <dataValidations count="1">
    <dataValidation allowBlank="true" errorStyle="stop" operator="between" showDropDown="false" showErrorMessage="false" showInputMessage="false" sqref="R2:R500 T2:T500" type="list">
      <formula1>"PASS,FAIL"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20"/>
    <col collapsed="false" customWidth="true" hidden="false" outlineLevel="0" max="2" min="2" style="1" width="40"/>
    <col collapsed="false" customWidth="true" hidden="false" outlineLevel="0" max="3" min="3" style="1" width="65"/>
    <col collapsed="false" customWidth="true" hidden="false" outlineLevel="0" max="4" min="4" style="1" width="55"/>
  </cols>
  <sheetData>
    <row r="1" customFormat="false" ht="19.5" hidden="false" customHeight="true" outlineLevel="0" collapsed="false">
      <c r="A1" s="6" t="s">
        <v>108</v>
      </c>
      <c r="B1" s="6" t="s">
        <v>109</v>
      </c>
      <c r="C1" s="6" t="s">
        <v>110</v>
      </c>
      <c r="D1" s="7" t="s">
        <v>111</v>
      </c>
    </row>
    <row r="2" customFormat="false" ht="45" hidden="false" customHeight="true" outlineLevel="0" collapsed="false">
      <c r="A2" s="8" t="s">
        <v>112</v>
      </c>
      <c r="B2" s="8" t="s">
        <v>0</v>
      </c>
      <c r="C2" s="8" t="s">
        <v>113</v>
      </c>
      <c r="D2" s="9" t="s">
        <v>114</v>
      </c>
    </row>
    <row r="3" customFormat="false" ht="45" hidden="false" customHeight="true" outlineLevel="0" collapsed="false">
      <c r="A3" s="8" t="s">
        <v>112</v>
      </c>
      <c r="B3" s="8" t="s">
        <v>1</v>
      </c>
      <c r="C3" s="8" t="s">
        <v>115</v>
      </c>
      <c r="D3" s="9" t="s">
        <v>116</v>
      </c>
    </row>
    <row r="4" customFormat="false" ht="45" hidden="false" customHeight="true" outlineLevel="0" collapsed="false">
      <c r="A4" s="8" t="s">
        <v>117</v>
      </c>
      <c r="B4" s="8" t="s">
        <v>2</v>
      </c>
      <c r="C4" s="8" t="s">
        <v>118</v>
      </c>
      <c r="D4" s="9" t="s">
        <v>119</v>
      </c>
    </row>
    <row r="5" customFormat="false" ht="45" hidden="false" customHeight="true" outlineLevel="0" collapsed="false">
      <c r="A5" s="8" t="s">
        <v>117</v>
      </c>
      <c r="B5" s="8" t="s">
        <v>3</v>
      </c>
      <c r="C5" s="8" t="s">
        <v>118</v>
      </c>
      <c r="D5" s="9" t="s">
        <v>120</v>
      </c>
    </row>
    <row r="6" customFormat="false" ht="45" hidden="false" customHeight="true" outlineLevel="0" collapsed="false">
      <c r="A6" s="8" t="s">
        <v>117</v>
      </c>
      <c r="B6" s="8" t="s">
        <v>4</v>
      </c>
      <c r="C6" s="8" t="s">
        <v>121</v>
      </c>
      <c r="D6" s="9" t="s">
        <v>122</v>
      </c>
    </row>
    <row r="7" customFormat="false" ht="45" hidden="false" customHeight="true" outlineLevel="0" collapsed="false">
      <c r="A7" s="8" t="s">
        <v>123</v>
      </c>
      <c r="B7" s="8" t="s">
        <v>5</v>
      </c>
      <c r="C7" s="8" t="s">
        <v>124</v>
      </c>
      <c r="D7" s="9" t="s">
        <v>125</v>
      </c>
    </row>
    <row r="8" customFormat="false" ht="45" hidden="false" customHeight="true" outlineLevel="0" collapsed="false">
      <c r="A8" s="8" t="s">
        <v>123</v>
      </c>
      <c r="B8" s="8" t="s">
        <v>6</v>
      </c>
      <c r="C8" s="8" t="s">
        <v>126</v>
      </c>
      <c r="D8" s="9" t="s">
        <v>127</v>
      </c>
    </row>
    <row r="9" customFormat="false" ht="23.25" hidden="false" customHeight="true" outlineLevel="0" collapsed="false">
      <c r="A9" s="9" t="s">
        <v>128</v>
      </c>
      <c r="B9" s="9" t="s">
        <v>8</v>
      </c>
      <c r="C9" s="9" t="s">
        <v>129</v>
      </c>
      <c r="D9" s="9" t="s">
        <v>130</v>
      </c>
    </row>
    <row r="10" customFormat="false" ht="34.5" hidden="false" customHeight="true" outlineLevel="0" collapsed="false">
      <c r="A10" s="9" t="s">
        <v>131</v>
      </c>
      <c r="B10" s="9" t="s">
        <v>9</v>
      </c>
      <c r="C10" s="9" t="s">
        <v>132</v>
      </c>
      <c r="D10" s="9" t="s">
        <v>133</v>
      </c>
    </row>
    <row r="11" customFormat="false" ht="34.5" hidden="false" customHeight="true" outlineLevel="0" collapsed="false">
      <c r="A11" s="3" t="s">
        <v>131</v>
      </c>
      <c r="B11" s="3" t="s">
        <v>10</v>
      </c>
      <c r="C11" s="3" t="s">
        <v>134</v>
      </c>
      <c r="D11" s="3" t="s">
        <v>135</v>
      </c>
    </row>
    <row r="12" customFormat="false" ht="34.5" hidden="false" customHeight="true" outlineLevel="0" collapsed="false">
      <c r="A12" s="9" t="s">
        <v>131</v>
      </c>
      <c r="B12" s="9" t="s">
        <v>11</v>
      </c>
      <c r="C12" s="9" t="s">
        <v>136</v>
      </c>
      <c r="D12" s="9" t="s">
        <v>137</v>
      </c>
    </row>
    <row r="13" customFormat="false" ht="34.5" hidden="false" customHeight="true" outlineLevel="0" collapsed="false">
      <c r="A13" s="9" t="s">
        <v>138</v>
      </c>
      <c r="B13" s="9" t="s">
        <v>12</v>
      </c>
      <c r="C13" s="9" t="s">
        <v>139</v>
      </c>
      <c r="D13" s="9" t="s">
        <v>140</v>
      </c>
    </row>
    <row r="14" customFormat="false" ht="23.25" hidden="false" customHeight="true" outlineLevel="0" collapsed="false">
      <c r="A14" s="9" t="s">
        <v>138</v>
      </c>
      <c r="B14" s="9" t="s">
        <v>13</v>
      </c>
      <c r="C14" s="9" t="s">
        <v>141</v>
      </c>
      <c r="D14" s="9" t="s">
        <v>142</v>
      </c>
    </row>
    <row r="15" customFormat="false" ht="23.25" hidden="false" customHeight="true" outlineLevel="0" collapsed="false">
      <c r="A15" s="9" t="s">
        <v>143</v>
      </c>
      <c r="B15" s="9" t="s">
        <v>14</v>
      </c>
      <c r="C15" s="9" t="s">
        <v>144</v>
      </c>
      <c r="D15" s="9" t="s">
        <v>145</v>
      </c>
    </row>
    <row r="16" customFormat="false" ht="23.25" hidden="false" customHeight="true" outlineLevel="0" collapsed="false">
      <c r="A16" s="9" t="s">
        <v>123</v>
      </c>
      <c r="B16" s="9" t="s">
        <v>7</v>
      </c>
      <c r="C16" s="9" t="s">
        <v>146</v>
      </c>
      <c r="D16" s="9" t="s">
        <v>147</v>
      </c>
    </row>
    <row r="17" customFormat="false" ht="34.5" hidden="false" customHeight="true" outlineLevel="0" collapsed="false">
      <c r="A17" s="9" t="s">
        <v>148</v>
      </c>
      <c r="B17" s="9" t="s">
        <v>15</v>
      </c>
      <c r="C17" s="9" t="s">
        <v>149</v>
      </c>
      <c r="D17" s="9" t="s">
        <v>150</v>
      </c>
    </row>
    <row r="18" customFormat="false" ht="57" hidden="false" customHeight="true" outlineLevel="0" collapsed="false">
      <c r="A18" s="9" t="s">
        <v>151</v>
      </c>
      <c r="B18" s="9" t="s">
        <v>152</v>
      </c>
      <c r="C18" s="9" t="s">
        <v>153</v>
      </c>
      <c r="D18" s="9" t="s">
        <v>154</v>
      </c>
    </row>
    <row r="19" customFormat="false" ht="102" hidden="false" customHeight="true" outlineLevel="0" collapsed="false"/>
    <row r="20" customFormat="false" ht="102" hidden="false" customHeight="true" outlineLevel="0" collapsed="false">
      <c r="A20" s="9" t="s">
        <v>155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34"/>
    <col collapsed="false" customWidth="true" hidden="false" outlineLevel="0" max="2" min="2" style="1" width="26"/>
    <col collapsed="false" customWidth="true" hidden="false" outlineLevel="0" max="3" min="3" style="1" width="24"/>
    <col collapsed="false" customWidth="true" hidden="false" outlineLevel="0" max="4" min="4" style="1" width="62"/>
    <col collapsed="false" customWidth="true" hidden="false" outlineLevel="0" max="5" min="5" style="1" width="45"/>
  </cols>
  <sheetData>
    <row r="1" customFormat="false" ht="15" hidden="false" customHeight="true" outlineLevel="0" collapsed="false">
      <c r="A1" s="7" t="s">
        <v>109</v>
      </c>
      <c r="B1" s="7" t="s">
        <v>156</v>
      </c>
      <c r="C1" s="7" t="s">
        <v>157</v>
      </c>
      <c r="D1" s="7" t="s">
        <v>158</v>
      </c>
      <c r="E1" s="7" t="s">
        <v>159</v>
      </c>
    </row>
    <row r="2" customFormat="false" ht="15" hidden="false" customHeight="true" outlineLevel="0" collapsed="false">
      <c r="A2" s="10" t="s">
        <v>160</v>
      </c>
      <c r="B2" s="11"/>
      <c r="C2" s="11"/>
      <c r="D2" s="11"/>
      <c r="E2" s="11"/>
    </row>
    <row r="3" customFormat="false" ht="34.5" hidden="false" customHeight="true" outlineLevel="0" collapsed="false">
      <c r="A3" s="9" t="s">
        <v>161</v>
      </c>
      <c r="B3" s="9" t="s">
        <v>29</v>
      </c>
      <c r="C3" s="9" t="s">
        <v>162</v>
      </c>
      <c r="D3" s="9" t="s">
        <v>163</v>
      </c>
      <c r="E3" s="9" t="s">
        <v>164</v>
      </c>
    </row>
    <row r="4" customFormat="false" ht="34.5" hidden="false" customHeight="true" outlineLevel="0" collapsed="false">
      <c r="A4" s="9" t="s">
        <v>161</v>
      </c>
      <c r="B4" s="9" t="s">
        <v>42</v>
      </c>
      <c r="C4" s="9" t="s">
        <v>165</v>
      </c>
      <c r="D4" s="9" t="s">
        <v>166</v>
      </c>
      <c r="E4" s="9" t="s">
        <v>167</v>
      </c>
    </row>
    <row r="5" customFormat="false" ht="34.5" hidden="false" customHeight="true" outlineLevel="0" collapsed="false">
      <c r="A5" s="9" t="s">
        <v>161</v>
      </c>
      <c r="B5" s="9" t="s">
        <v>32</v>
      </c>
      <c r="C5" s="9" t="s">
        <v>168</v>
      </c>
      <c r="D5" s="9" t="s">
        <v>169</v>
      </c>
      <c r="E5" s="9" t="s">
        <v>170</v>
      </c>
    </row>
    <row r="6" customFormat="false" ht="34.5" hidden="false" customHeight="true" outlineLevel="0" collapsed="false">
      <c r="A6" s="12" t="s">
        <v>171</v>
      </c>
      <c r="B6" s="13"/>
      <c r="C6" s="13"/>
      <c r="D6" s="13"/>
      <c r="E6" s="13"/>
    </row>
    <row r="7" customFormat="false" ht="45.75" hidden="false" customHeight="true" outlineLevel="0" collapsed="false">
      <c r="A7" s="3" t="s">
        <v>10</v>
      </c>
      <c r="B7" s="3" t="s">
        <v>30</v>
      </c>
      <c r="C7" s="3" t="s">
        <v>172</v>
      </c>
      <c r="D7" s="3" t="s">
        <v>173</v>
      </c>
    </row>
    <row r="8" customFormat="false" ht="34.5" hidden="false" customHeight="true" outlineLevel="0" collapsed="false">
      <c r="A8" s="3" t="s">
        <v>10</v>
      </c>
      <c r="B8" s="3" t="s">
        <v>52</v>
      </c>
      <c r="C8" s="3" t="s">
        <v>174</v>
      </c>
      <c r="D8" s="3" t="s">
        <v>175</v>
      </c>
    </row>
    <row r="9" customFormat="false" ht="15" hidden="false" customHeight="true" outlineLevel="0" collapsed="false">
      <c r="A9" s="3" t="s">
        <v>176</v>
      </c>
      <c r="B9" s="3" t="s">
        <v>31</v>
      </c>
      <c r="C9" s="3" t="s">
        <v>177</v>
      </c>
      <c r="D9" s="3" t="s">
        <v>178</v>
      </c>
    </row>
    <row r="10" customFormat="false" ht="57" hidden="false" customHeight="true" outlineLevel="0" collapsed="false">
      <c r="A10" s="3" t="s">
        <v>176</v>
      </c>
      <c r="B10" s="3" t="s">
        <v>53</v>
      </c>
      <c r="C10" s="3" t="s">
        <v>179</v>
      </c>
      <c r="D10" s="3" t="s">
        <v>180</v>
      </c>
    </row>
    <row r="11" customFormat="false" ht="15" hidden="false" customHeight="true" outlineLevel="0" collapsed="false">
      <c r="A11" s="10" t="s">
        <v>181</v>
      </c>
      <c r="B11" s="14"/>
      <c r="C11" s="14"/>
      <c r="D11" s="14"/>
      <c r="E11" s="14"/>
    </row>
    <row r="12" customFormat="false" ht="57" hidden="false" customHeight="true" outlineLevel="0" collapsed="false">
      <c r="A12" s="9" t="s">
        <v>13</v>
      </c>
      <c r="B12" s="9" t="s">
        <v>43</v>
      </c>
      <c r="C12" s="9" t="s">
        <v>182</v>
      </c>
      <c r="D12" s="9" t="s">
        <v>183</v>
      </c>
      <c r="E12" s="9" t="s">
        <v>184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55"/>
    <col collapsed="false" customWidth="true" hidden="false" outlineLevel="0" max="3" min="2" style="1" width="20"/>
    <col collapsed="false" customWidth="true" hidden="false" outlineLevel="0" max="4" min="4" style="1" width="22"/>
    <col collapsed="false" customWidth="true" hidden="false" outlineLevel="0" max="5" min="5" style="1" width="16"/>
    <col collapsed="false" customWidth="true" hidden="false" outlineLevel="0" max="6" min="6" style="1" width="22"/>
    <col collapsed="false" customWidth="true" hidden="false" outlineLevel="0" max="7" min="7" style="1" width="16"/>
  </cols>
  <sheetData>
    <row r="1" customFormat="false" ht="17.25" hidden="false" customHeight="true" outlineLevel="0" collapsed="false">
      <c r="A1" s="15" t="s">
        <v>185</v>
      </c>
    </row>
    <row r="2" customFormat="false" ht="15" hidden="false" customHeight="true" outlineLevel="0" collapsed="false">
      <c r="A2" s="16" t="s">
        <v>186</v>
      </c>
    </row>
    <row r="4" customFormat="false" ht="15" hidden="false" customHeight="true" outlineLevel="0" collapsed="false">
      <c r="A4" s="17" t="s">
        <v>187</v>
      </c>
      <c r="B4" s="18"/>
      <c r="C4" s="18"/>
    </row>
    <row r="5" customFormat="false" ht="15" hidden="false" customHeight="true" outlineLevel="0" collapsed="false">
      <c r="A5" s="19"/>
      <c r="B5" s="19" t="s">
        <v>188</v>
      </c>
      <c r="C5" s="19" t="s">
        <v>189</v>
      </c>
    </row>
    <row r="6" customFormat="false" ht="15" hidden="false" customHeight="true" outlineLevel="0" collapsed="false">
      <c r="A6" s="20" t="s">
        <v>190</v>
      </c>
      <c r="B6" s="21" t="n">
        <f aca="false">IF(COUNTIFS('Golden Dataset'!R2:R500,"&lt;&gt;")=0,0,COUNTIFS('Golden Dataset'!R2:R500,"PASS")/COUNTIFS('Golden Dataset'!R2:R500,"&lt;&gt;"))</f>
        <v>0</v>
      </c>
      <c r="C6" s="21" t="n">
        <f aca="false">IF(COUNTIFS('Golden Dataset'!T2:T500,"&lt;&gt;")=0,0,COUNTIFS('Golden Dataset'!T2:T500,"PASS")/COUNTIFS('Golden Dataset'!T2:T500,"&lt;&gt;"))</f>
        <v>0</v>
      </c>
    </row>
    <row r="7" customFormat="false" ht="15" hidden="false" customHeight="true" outlineLevel="0" collapsed="false">
      <c r="A7" s="20" t="s">
        <v>191</v>
      </c>
      <c r="B7" s="20" t="n">
        <f aca="false">COUNTIF('Golden Dataset'!R2:R500,"&lt;&gt;")</f>
        <v>0</v>
      </c>
      <c r="C7" s="20" t="n">
        <f aca="false">COUNTIF('Golden Dataset'!T2:T500,"&lt;&gt;")</f>
        <v>0</v>
      </c>
    </row>
    <row r="9" customFormat="false" ht="15" hidden="false" customHeight="true" outlineLevel="0" collapsed="false">
      <c r="A9" s="17" t="s">
        <v>192</v>
      </c>
      <c r="B9" s="18"/>
      <c r="C9" s="18"/>
    </row>
    <row r="10" customFormat="false" ht="15" hidden="false" customHeight="true" outlineLevel="0" collapsed="false">
      <c r="A10" s="20"/>
      <c r="B10" s="19" t="s">
        <v>188</v>
      </c>
      <c r="C10" s="19" t="s">
        <v>189</v>
      </c>
    </row>
    <row r="11" customFormat="false" ht="15" hidden="false" customHeight="true" outlineLevel="0" collapsed="false">
      <c r="A11" s="20" t="s">
        <v>193</v>
      </c>
      <c r="B11" s="21" t="n">
        <f aca="false">IF(COUNTIFS('Golden Dataset'!H2:H500,"false-negative",'Golden Dataset'!R2:R500,"&lt;&gt;")=0,0,COUNTIFS('Golden Dataset'!H2:H500,"false-negative",'Golden Dataset'!R2:R500,"FAIL")/COUNTIFS('Golden Dataset'!H2:H500,"false-negative",'Golden Dataset'!R2:R500,"&lt;&gt;"))</f>
        <v>0</v>
      </c>
      <c r="C11" s="21" t="n">
        <f aca="false">IF(COUNTIFS('Golden Dataset'!H2:H500,"false-negative",'Golden Dataset'!T2:T500,"&lt;&gt;")=0,0,COUNTIFS('Golden Dataset'!H2:H500,"false-negative",'Golden Dataset'!T2:T500,"FAIL")/COUNTIFS('Golden Dataset'!H2:H500,"false-negative",'Golden Dataset'!T2:T500,"&lt;&gt;"))</f>
        <v>0</v>
      </c>
    </row>
    <row r="12" customFormat="false" ht="15" hidden="false" customHeight="true" outlineLevel="0" collapsed="false">
      <c r="A12" s="20" t="s">
        <v>194</v>
      </c>
      <c r="B12" s="21" t="n">
        <f aca="false">IF(COUNTIFS('Golden Dataset'!H2:H500,"false-positive",'Golden Dataset'!R2:R500,"&lt;&gt;")=0,0,COUNTIFS('Golden Dataset'!H2:H500,"false-positive",'Golden Dataset'!R2:R500,"FAIL")/COUNTIFS('Golden Dataset'!H2:H500,"false-positive",'Golden Dataset'!R2:R500,"&lt;&gt;"))</f>
        <v>0</v>
      </c>
      <c r="C12" s="21" t="n">
        <f aca="false">IF(COUNTIFS('Golden Dataset'!H2:H500,"false-positive",'Golden Dataset'!T2:T500,"&lt;&gt;")=0,0,COUNTIFS('Golden Dataset'!H2:H500,"false-positive",'Golden Dataset'!T2:T500,"FAIL")/COUNTIFS('Golden Dataset'!H2:H500,"false-positive",'Golden Dataset'!T2:T500,"&lt;&gt;"))</f>
        <v>0</v>
      </c>
    </row>
    <row r="14" customFormat="false" ht="15" hidden="false" customHeight="true" outlineLevel="0" collapsed="false">
      <c r="A14" s="17" t="s">
        <v>195</v>
      </c>
      <c r="B14" s="18"/>
      <c r="C14" s="18"/>
    </row>
    <row r="15" customFormat="false" ht="15" hidden="false" customHeight="true" outlineLevel="0" collapsed="false">
      <c r="A15" s="20"/>
      <c r="B15" s="19" t="s">
        <v>188</v>
      </c>
      <c r="C15" s="19" t="s">
        <v>189</v>
      </c>
    </row>
    <row r="16" customFormat="false" ht="15" hidden="false" customHeight="true" outlineLevel="0" collapsed="false">
      <c r="A16" s="20" t="s">
        <v>25</v>
      </c>
      <c r="B16" s="21" t="n">
        <f aca="false">IF(COUNTIFS('Golden Dataset'!F2:F500,$A16,'Golden Dataset'!R2:R500,"&lt;&gt;")=0,0,COUNTIFS('Golden Dataset'!F2:F500,$A16,'Golden Dataset'!R2:R500,"PASS")/COUNTIFS('Golden Dataset'!F2:F500,$A16,'Golden Dataset'!R2:R500,"&lt;&gt;"))</f>
        <v>0</v>
      </c>
      <c r="C16" s="21" t="n">
        <f aca="false">IF(COUNTIFS('Golden Dataset'!F2:F500,$A16,'Golden Dataset'!T2:T500,"&lt;&gt;")=0,0,COUNTIFS('Golden Dataset'!F2:F500,$A16,'Golden Dataset'!T2:T500,"PASS")/COUNTIFS('Golden Dataset'!F2:F500,$A16,'Golden Dataset'!T2:T500,"&lt;&gt;"))</f>
        <v>0</v>
      </c>
    </row>
    <row r="18" customFormat="false" ht="15" hidden="false" customHeight="true" outlineLevel="0" collapsed="false">
      <c r="A18" s="17" t="s">
        <v>196</v>
      </c>
      <c r="B18" s="18"/>
      <c r="C18" s="18"/>
    </row>
    <row r="19" customFormat="false" ht="15" hidden="false" customHeight="true" outlineLevel="0" collapsed="false">
      <c r="A19" s="20"/>
      <c r="B19" s="19" t="s">
        <v>188</v>
      </c>
      <c r="C19" s="19" t="s">
        <v>189</v>
      </c>
    </row>
    <row r="20" customFormat="false" ht="15" hidden="false" customHeight="true" outlineLevel="0" collapsed="false">
      <c r="A20" s="20" t="s">
        <v>31</v>
      </c>
      <c r="B20" s="21" t="n">
        <f aca="false">IF(COUNTIFS('Golden Dataset'!L2:L500,$A20,'Golden Dataset'!R2:R500,"&lt;&gt;")=0,0,COUNTIFS('Golden Dataset'!L2:L500,$A20,'Golden Dataset'!R2:R500,"PASS")/COUNTIFS('Golden Dataset'!L2:L500,$A20,'Golden Dataset'!R2:R500,"&lt;&gt;"))</f>
        <v>0</v>
      </c>
      <c r="C20" s="21" t="n">
        <f aca="false">IF(COUNTIFS('Golden Dataset'!L2:L500,$A20,'Golden Dataset'!T2:T500,"&lt;&gt;")=0,0,COUNTIFS('Golden Dataset'!L2:L500,$A20,'Golden Dataset'!T2:T500,"PASS")/COUNTIFS('Golden Dataset'!L2:L500,$A20,'Golden Dataset'!T2:T500,"&lt;&gt;"))</f>
        <v>0</v>
      </c>
    </row>
    <row r="21" customFormat="false" ht="15" hidden="false" customHeight="true" outlineLevel="0" collapsed="false">
      <c r="A21" s="20" t="s">
        <v>53</v>
      </c>
      <c r="B21" s="21" t="n">
        <f aca="false">IF(COUNTIFS('Golden Dataset'!L2:L500,$A21,'Golden Dataset'!R2:R500,"&lt;&gt;")=0,0,COUNTIFS('Golden Dataset'!L2:L500,$A21,'Golden Dataset'!R2:R500,"PASS")/COUNTIFS('Golden Dataset'!L2:L500,$A21,'Golden Dataset'!R2:R500,"&lt;&gt;"))</f>
        <v>0</v>
      </c>
      <c r="C21" s="21" t="n">
        <f aca="false">IF(COUNTIFS('Golden Dataset'!L2:L500,$A21,'Golden Dataset'!T2:T500,"&lt;&gt;")=0,0,COUNTIFS('Golden Dataset'!L2:L500,$A21,'Golden Dataset'!T2:T500,"PASS")/COUNTIFS('Golden Dataset'!L2:L500,$A21,'Golden Dataset'!T2:T500,"&lt;&gt;"))</f>
        <v>0</v>
      </c>
    </row>
    <row r="23" customFormat="false" ht="15" hidden="false" customHeight="true" outlineLevel="0" collapsed="false">
      <c r="A23" s="1" t="s">
        <v>197</v>
      </c>
    </row>
    <row r="24" customFormat="false" ht="15" hidden="false" customHeight="true" outlineLevel="0" collapsed="false">
      <c r="B24" s="1" t="s">
        <v>188</v>
      </c>
      <c r="C24" s="1" t="s">
        <v>189</v>
      </c>
    </row>
    <row r="25" customFormat="false" ht="15" hidden="false" customHeight="true" outlineLevel="0" collapsed="false">
      <c r="A25" s="1" t="s">
        <v>30</v>
      </c>
      <c r="B25" s="1" t="n">
        <f aca="false">IF(COUNTIFS('Golden Dataset'!K2:K500,$A25,'Golden Dataset'!R2:R500,"&lt;&gt;")=0,0,COUNTIFS('Golden Dataset'!K2:K500,$A25,'Golden Dataset'!R2:R500,"PASS")/COUNTIFS('Golden Dataset'!K2:K500,$A25,'Golden Dataset'!R2:R500,"&lt;&gt;"))</f>
        <v>0</v>
      </c>
      <c r="C25" s="1" t="n">
        <f aca="false">IF(COUNTIFS('Golden Dataset'!K2:K500,$A25,'Golden Dataset'!T2:T500,"&lt;&gt;")=0,0,COUNTIFS('Golden Dataset'!K2:K500,$A25,'Golden Dataset'!T2:T500,"PASS")/COUNTIFS('Golden Dataset'!K2:K500,$A25,'Golden Dataset'!T2:T500,"&lt;&gt;"))</f>
        <v>0</v>
      </c>
    </row>
    <row r="26" customFormat="false" ht="15" hidden="false" customHeight="true" outlineLevel="0" collapsed="false">
      <c r="A26" s="1" t="s">
        <v>52</v>
      </c>
      <c r="B26" s="1" t="n">
        <f aca="false">IF(COUNTIFS('Golden Dataset'!K2:K500,$A26,'Golden Dataset'!R2:R500,"&lt;&gt;")=0,0,COUNTIFS('Golden Dataset'!K2:K500,$A26,'Golden Dataset'!R2:R500,"PASS")/COUNTIFS('Golden Dataset'!K2:K500,$A26,'Golden Dataset'!R2:R500,"&lt;&gt;"))</f>
        <v>0</v>
      </c>
      <c r="C26" s="1" t="n">
        <f aca="false">IF(COUNTIFS('Golden Dataset'!K2:K500,$A26,'Golden Dataset'!T2:T500,"&lt;&gt;")=0,0,COUNTIFS('Golden Dataset'!K2:K500,$A26,'Golden Dataset'!T2:T500,"PASS")/COUNTIFS('Golden Dataset'!K2:K500,$A26,'Golden Dataset'!T2:T500,"&lt;&gt;"))</f>
        <v>0</v>
      </c>
    </row>
    <row r="27" customFormat="false" ht="15" hidden="false" customHeight="true" outlineLevel="0" collapsed="false"/>
    <row r="28" customFormat="false" ht="15" hidden="false" customHeight="true" outlineLevel="0" collapsed="false">
      <c r="A28" s="17" t="s">
        <v>198</v>
      </c>
      <c r="B28" s="18"/>
      <c r="C28" s="18"/>
    </row>
    <row r="29" customFormat="false" ht="15" hidden="false" customHeight="true" outlineLevel="0" collapsed="false">
      <c r="A29" s="20"/>
      <c r="B29" s="19" t="s">
        <v>188</v>
      </c>
      <c r="C29" s="19" t="s">
        <v>189</v>
      </c>
    </row>
    <row r="30" customFormat="false" ht="15" hidden="false" customHeight="true" outlineLevel="0" collapsed="false">
      <c r="A30" s="20" t="s">
        <v>43</v>
      </c>
      <c r="B30" s="21" t="n">
        <f aca="false">IF(COUNTIFS('Golden Dataset'!N2:N500,$A30,'Golden Dataset'!R2:R500,"&lt;&gt;")=0,0,COUNTIFS('Golden Dataset'!N2:N500,$A30,'Golden Dataset'!R2:R500,"PASS")/COUNTIFS('Golden Dataset'!N2:N500,$A30,'Golden Dataset'!R2:R500,"&lt;&gt;"))</f>
        <v>0</v>
      </c>
      <c r="C30" s="21" t="n">
        <f aca="false">IF(COUNTIFS('Golden Dataset'!N2:N500,$A30,'Golden Dataset'!T2:T500,"&lt;&gt;")=0,0,COUNTIFS('Golden Dataset'!N2:N500,$A30,'Golden Dataset'!T2:T500,"PASS")/COUNTIFS('Golden Dataset'!N2:N500,$A30,'Golden Dataset'!T2:T500,"&lt;&gt;"))</f>
        <v>0</v>
      </c>
    </row>
    <row r="32" customFormat="false" ht="15" hidden="false" customHeight="true" outlineLevel="0" collapsed="false">
      <c r="A32" s="17" t="s">
        <v>199</v>
      </c>
      <c r="B32" s="18"/>
      <c r="C32" s="18"/>
    </row>
    <row r="33" customFormat="false" ht="15" hidden="false" customHeight="true" outlineLevel="0" collapsed="false">
      <c r="A33" s="19" t="s">
        <v>200</v>
      </c>
      <c r="B33" s="19" t="s">
        <v>187</v>
      </c>
      <c r="C33" s="19" t="s">
        <v>201</v>
      </c>
    </row>
    <row r="34" customFormat="false" ht="15" hidden="false" customHeight="true" outlineLevel="0" collapsed="false">
      <c r="A34" s="20" t="s">
        <v>202</v>
      </c>
      <c r="B34" s="21" t="n">
        <f aca="false">B6</f>
        <v>0</v>
      </c>
      <c r="C34" s="21" t="n">
        <f aca="false">B11</f>
        <v>0</v>
      </c>
    </row>
    <row r="35" customFormat="false" ht="15" hidden="false" customHeight="true" outlineLevel="0" collapsed="false">
      <c r="A35" s="20" t="s">
        <v>203</v>
      </c>
      <c r="B35" s="21" t="n">
        <f aca="false">C6</f>
        <v>0</v>
      </c>
      <c r="C35" s="21" t="n">
        <f aca="false">C11</f>
        <v>0</v>
      </c>
    </row>
    <row r="36" customFormat="false" ht="15" hidden="false" customHeight="true" outlineLevel="0" collapsed="false"/>
    <row r="37" customFormat="false" ht="15" hidden="false" customHeight="true" outlineLevel="0" collapsed="false">
      <c r="A37" s="16" t="s">
        <v>204</v>
      </c>
    </row>
    <row r="38" customFormat="false" ht="15" hidden="false" customHeight="true" outlineLevel="0" collapsed="false"/>
    <row r="39" customFormat="false" ht="15" hidden="false" customHeight="true" outlineLevel="0" collapsed="false">
      <c r="A39" s="17" t="s">
        <v>205</v>
      </c>
      <c r="B39" s="18"/>
      <c r="C39" s="18"/>
      <c r="D39" s="18"/>
      <c r="E39" s="18"/>
      <c r="F39" s="18"/>
      <c r="G39" s="18"/>
    </row>
    <row r="40" customFormat="false" ht="15" hidden="false" customHeight="true" outlineLevel="0" collapsed="false">
      <c r="A40" s="19" t="s">
        <v>0</v>
      </c>
      <c r="B40" s="19" t="s">
        <v>5</v>
      </c>
      <c r="C40" s="19" t="s">
        <v>6</v>
      </c>
      <c r="D40" s="19" t="s">
        <v>206</v>
      </c>
      <c r="E40" s="19" t="s">
        <v>207</v>
      </c>
      <c r="F40" s="19" t="s">
        <v>208</v>
      </c>
      <c r="G40" s="19" t="s">
        <v>209</v>
      </c>
    </row>
    <row r="41" customFormat="false" ht="15" hidden="false" customHeight="true" outlineLevel="0" collapsed="false">
      <c r="A41" s="20" t="str">
        <f aca="false">IF('Golden Dataset'!A2="","",'Golden Dataset'!A2)</f>
        <v>GC-001</v>
      </c>
      <c r="B41" s="20" t="str">
        <f aca="false">IF('Golden Dataset'!A2="","",'Golden Dataset'!F2)</f>
        <v>remote_type</v>
      </c>
      <c r="C41" s="20" t="str">
        <f aca="false">IF('Golden Dataset'!A2="","",'Golden Dataset'!G2)</f>
        <v>remote_global</v>
      </c>
      <c r="D41" s="20" t="str">
        <f aca="false">IF('Golden Dataset'!P2="","",'Golden Dataset'!P2)</f>
        <v>This is D-121's founding case: LinkedIn's own locations_derived says India, but the JD (deep in the text) restricts the role to China. Pre-v5 rubric, the classifier would have wrongly said remote_india from the location field alone. The v5 rubric rewrite (D-129) fixed this, and D-130 verified the fix against this exact posting. This row exists as a permanent regression guard so a future prompt change can't silently reintroduce the mistake. Tests classifyPrompt (junior-titled role, full classify call).</v>
      </c>
      <c r="E41" s="20" t="str">
        <f aca="false">IF('Golden Dataset'!Q2="","",'Golden Dataset'!Q2)</f>
        <v/>
      </c>
      <c r="F41" s="20" t="str">
        <f aca="false">IF('Golden Dataset'!R2="","",'Golden Dataset'!R2)</f>
        <v/>
      </c>
      <c r="G41" s="20" t="str">
        <f aca="false">IF('Golden Dataset'!S2="","",'Golden Dataset'!S2)</f>
        <v/>
      </c>
    </row>
    <row r="42" customFormat="false" ht="15" hidden="false" customHeight="true" outlineLevel="0" collapsed="false">
      <c r="A42" s="20" t="str">
        <f aca="false">IF('Golden Dataset'!A3="","",'Golden Dataset'!A3)</f>
        <v>GC-002</v>
      </c>
      <c r="B42" s="20" t="str">
        <f aca="false">IF('Golden Dataset'!A3="","",'Golden Dataset'!F3)</f>
        <v>remote_type</v>
      </c>
      <c r="C42" s="20" t="str">
        <f aca="false">IF('Golden Dataset'!A3="","",'Golden Dataset'!G3)</f>
        <v>remote_india</v>
      </c>
      <c r="D42" s="20" t="str">
        <f aca="false">IF('Golden Dataset'!P3="","",'Golden Dataset'!P3)</f>
        <v>One of the 2 confirmed real remote_check misses (Session 30, 2026-08-10 audit) that directly motivated D-149's reason-before-classify redesign. Exists to verify D-149 actually fixes what it was built to fix, once implemented. Tests remoteCheckPrompt (senior-titled role, D-133/D-136 skip classify entirely), not classifyPrompt — the two prompts share this rubric verbatim, so this row also guards remoteCheckPrompt specifically.</v>
      </c>
      <c r="E42" s="20" t="str">
        <f aca="false">IF('Golden Dataset'!Q3="","",'Golden Dataset'!Q3)</f>
        <v/>
      </c>
      <c r="F42" s="20" t="str">
        <f aca="false">IF('Golden Dataset'!R3="","",'Golden Dataset'!R3)</f>
        <v/>
      </c>
      <c r="G42" s="20" t="str">
        <f aca="false">IF('Golden Dataset'!S3="","",'Golden Dataset'!S3)</f>
        <v/>
      </c>
    </row>
    <row r="43" customFormat="false" ht="15" hidden="false" customHeight="true" outlineLevel="0" collapsed="false">
      <c r="A43" s="20" t="str">
        <f aca="false">IF('Golden Dataset'!A4="","",'Golden Dataset'!A4)</f>
        <v>GC-003</v>
      </c>
      <c r="B43" s="20" t="str">
        <f aca="false">IF('Golden Dataset'!A4="","",'Golden Dataset'!F4)</f>
        <v>remote_type</v>
      </c>
      <c r="C43" s="20" t="str">
        <f aca="false">IF('Golden Dataset'!A4="","",'Golden Dataset'!G4)</f>
        <v>remote_india</v>
      </c>
      <c r="D43" s="20" t="str">
        <f aca="false">IF('Golden Dataset'!P4="","",'Golden Dataset'!P4)</f>
        <v>The second of the 2 confirmed real remote_check misses (Session 30, 2026-08-10 audit) behind D-149. Same purpose as GC-002: verify D-149's reasoning-before-verdict reorder actually changes the verdict, not just adds reasoning text around the same wrong answer. Tests remoteCheckPrompt (senior-titled role).</v>
      </c>
      <c r="E43" s="20" t="str">
        <f aca="false">IF('Golden Dataset'!Q4="","",'Golden Dataset'!Q4)</f>
        <v/>
      </c>
      <c r="F43" s="20" t="str">
        <f aca="false">IF('Golden Dataset'!R4="","",'Golden Dataset'!R4)</f>
        <v/>
      </c>
      <c r="G43" s="20" t="str">
        <f aca="false">IF('Golden Dataset'!S4="","",'Golden Dataset'!S4)</f>
        <v/>
      </c>
    </row>
    <row r="44" customFormat="false" ht="15" hidden="false" customHeight="true" outlineLevel="0" collapsed="false">
      <c r="A44" s="20" t="str">
        <f aca="false">IF('Golden Dataset'!A5="","",'Golden Dataset'!A5)</f>
        <v>GC-004</v>
      </c>
      <c r="B44" s="20" t="str">
        <f aca="false">IF('Golden Dataset'!A5="","",'Golden Dataset'!F5)</f>
        <v>remote_type</v>
      </c>
      <c r="C44" s="20" t="str">
        <f aca="false">IF('Golden Dataset'!A5="","",'Golden Dataset'!G5)</f>
        <v>remote_india</v>
      </c>
      <c r="D44" s="20" t="str">
        <f aca="false">IF('Golden Dataset'!P5="","",'Golden Dataset'!P5)</f>
        <v>Happy-path baseline for remote_type: clean, unambiguous remote-anywhere posting. Regression guard so a future prompt change can't silently start misreading the easy 90% case. Tests classifyPrompt (junior-titled role). Human-verified by Sakshi against the pulled DB row before use — see Session 36.</v>
      </c>
      <c r="E44" s="20" t="str">
        <f aca="false">IF('Golden Dataset'!Q5="","",'Golden Dataset'!Q5)</f>
        <v/>
      </c>
      <c r="F44" s="20" t="str">
        <f aca="false">IF('Golden Dataset'!R5="","",'Golden Dataset'!R5)</f>
        <v/>
      </c>
      <c r="G44" s="20" t="str">
        <f aca="false">IF('Golden Dataset'!S5="","",'Golden Dataset'!S5)</f>
        <v/>
      </c>
    </row>
    <row r="45" customFormat="false" ht="15" hidden="false" customHeight="true" outlineLevel="0" collapsed="false">
      <c r="A45" s="20" t="str">
        <f aca="false">IF('Golden Dataset'!A6="","",'Golden Dataset'!A6)</f>
        <v>GC-005</v>
      </c>
      <c r="B45" s="20" t="str">
        <f aca="false">IF('Golden Dataset'!A6="","",'Golden Dataset'!F6)</f>
        <v>geo_explicit</v>
      </c>
      <c r="C45" s="22" t="b">
        <f aca="false">IF('Golden Dataset'!A6="","",'Golden Dataset'!G6)</f>
        <v>1</v>
      </c>
      <c r="D45" s="20" t="str">
        <f aca="false">IF('Golden Dataset'!P6="","",'Golden Dataset'!P6)</f>
        <v>Happy-path baseline for geo_explicit=true (explicit-eligibility case, contrasts with GC-007's geo_explicit=false silent case). Tests classifyPrompt.</v>
      </c>
      <c r="E45" s="20" t="str">
        <f aca="false">IF('Golden Dataset'!Q6="","",'Golden Dataset'!Q6)</f>
        <v/>
      </c>
      <c r="F45" s="20" t="str">
        <f aca="false">IF('Golden Dataset'!R6="","",'Golden Dataset'!R6)</f>
        <v/>
      </c>
      <c r="G45" s="20" t="str">
        <f aca="false">IF('Golden Dataset'!S6="","",'Golden Dataset'!S6)</f>
        <v/>
      </c>
    </row>
    <row r="46" customFormat="false" ht="15" hidden="false" customHeight="true" outlineLevel="0" collapsed="false">
      <c r="A46" s="20" t="str">
        <f aca="false">IF('Golden Dataset'!A7="","",'Golden Dataset'!A7)</f>
        <v>GC-006</v>
      </c>
      <c r="B46" s="20" t="str">
        <f aca="false">IF('Golden Dataset'!A7="","",'Golden Dataset'!F7)</f>
        <v>is_ai</v>
      </c>
      <c r="C46" s="20" t="str">
        <f aca="false">IF('Golden Dataset'!A7="","",'Golden Dataset'!G7)</f>
        <v>ai</v>
      </c>
      <c r="D46" s="20" t="str">
        <f aca="false">IF('Golden Dataset'!P7="","",'Golden Dataset'!P7)</f>
        <v>FLAGGED, NOT YET CONFIRMED: is_ai here hinges on whether 'role requires AI-building skills' counts as 'product or role centers on AI/ML/LLMs' per the rubric's own wording — the product itself doesn't. Needs Sakshi's explicit sign-off before this row is trusted as a happy-path baseline rather than reclassified as a diagnosed edge case.</v>
      </c>
      <c r="E46" s="20" t="str">
        <f aca="false">IF('Golden Dataset'!Q7="","",'Golden Dataset'!Q7)</f>
        <v/>
      </c>
      <c r="F46" s="20" t="str">
        <f aca="false">IF('Golden Dataset'!R7="","",'Golden Dataset'!R7)</f>
        <v/>
      </c>
      <c r="G46" s="20" t="str">
        <f aca="false">IF('Golden Dataset'!S7="","",'Golden Dataset'!S7)</f>
        <v/>
      </c>
    </row>
    <row r="47" customFormat="false" ht="15" hidden="false" customHeight="true" outlineLevel="0" collapsed="false">
      <c r="A47" s="20" t="str">
        <f aca="false">IF('Golden Dataset'!A8="","",'Golden Dataset'!A8)</f>
        <v>GC-007</v>
      </c>
      <c r="B47" s="20" t="str">
        <f aca="false">IF('Golden Dataset'!A8="","",'Golden Dataset'!F8)</f>
        <v>technical_depth</v>
      </c>
      <c r="C47" s="20" t="n">
        <f aca="false">IF('Golden Dataset'!A8="","",'Golden Dataset'!G8)</f>
        <v>4</v>
      </c>
      <c r="D47" s="20" t="str">
        <f aca="false">IF('Golden Dataset'!P8="","",'Golden Dataset'!P8)</f>
        <v>Happy-path candidate for technical_depth, but the exact integer is a judgment call, not a citable fact — treat expected_value as approximate (3-5 all defensible) rather than an exact-match target unless Sakshi commits to one number.</v>
      </c>
      <c r="E47" s="20" t="str">
        <f aca="false">IF('Golden Dataset'!Q8="","",'Golden Dataset'!Q8)</f>
        <v/>
      </c>
      <c r="F47" s="20" t="str">
        <f aca="false">IF('Golden Dataset'!R8="","",'Golden Dataset'!R8)</f>
        <v/>
      </c>
      <c r="G47" s="20" t="str">
        <f aca="false">IF('Golden Dataset'!S8="","",'Golden Dataset'!S8)</f>
        <v/>
      </c>
    </row>
    <row r="48" customFormat="false" ht="15" hidden="false" customHeight="true" outlineLevel="0" collapsed="false">
      <c r="A48" s="20" t="str">
        <f aca="false">IF('Golden Dataset'!A9="","",'Golden Dataset'!A9)</f>
        <v>GC-008</v>
      </c>
      <c r="B48" s="20" t="str">
        <f aca="false">IF('Golden Dataset'!A9="","",'Golden Dataset'!F9)</f>
        <v>remote_type</v>
      </c>
      <c r="C48" s="20" t="str">
        <f aca="false">IF('Golden Dataset'!A9="","",'Golden Dataset'!G9)</f>
        <v>remote_india</v>
      </c>
      <c r="D48" s="20" t="str">
        <f aca="false">IF('Golden Dataset'!P9="","",'Golden Dataset'!P9)</f>
        <v>Happy-path baseline for remote_type, contrast case to GC-004: same India-remote pool, different company/domain (healthcare SaaS). Tests classifyPrompt.</v>
      </c>
      <c r="E48" s="20" t="str">
        <f aca="false">IF('Golden Dataset'!Q9="","",'Golden Dataset'!Q9)</f>
        <v/>
      </c>
      <c r="F48" s="20" t="str">
        <f aca="false">IF('Golden Dataset'!R9="","",'Golden Dataset'!R9)</f>
        <v/>
      </c>
      <c r="G48" s="20" t="str">
        <f aca="false">IF('Golden Dataset'!S9="","",'Golden Dataset'!S9)</f>
        <v/>
      </c>
    </row>
    <row r="49" customFormat="false" ht="15" hidden="false" customHeight="true" outlineLevel="0" collapsed="false">
      <c r="A49" s="20" t="str">
        <f aca="false">IF('Golden Dataset'!A10="","",'Golden Dataset'!A10)</f>
        <v>GC-009</v>
      </c>
      <c r="B49" s="20" t="str">
        <f aca="false">IF('Golden Dataset'!A10="","",'Golden Dataset'!F10)</f>
        <v>geo_explicit</v>
      </c>
      <c r="C49" s="22" t="b">
        <f aca="false">IF('Golden Dataset'!A10="","",'Golden Dataset'!G10)</f>
        <v>1</v>
      </c>
      <c r="D49" s="20" t="str">
        <f aca="false">IF('Golden Dataset'!P10="","",'Golden Dataset'!P10)</f>
        <v>Happy-path baseline for geo_explicit=true, cleanest possible case (region named directly in a labeled Location field, no inference needed).</v>
      </c>
      <c r="E49" s="20" t="str">
        <f aca="false">IF('Golden Dataset'!Q10="","",'Golden Dataset'!Q10)</f>
        <v/>
      </c>
      <c r="F49" s="20" t="str">
        <f aca="false">IF('Golden Dataset'!R10="","",'Golden Dataset'!R10)</f>
        <v/>
      </c>
      <c r="G49" s="20" t="str">
        <f aca="false">IF('Golden Dataset'!S10="","",'Golden Dataset'!S10)</f>
        <v/>
      </c>
    </row>
    <row r="50" customFormat="false" ht="15" hidden="false" customHeight="true" outlineLevel="0" collapsed="false">
      <c r="A50" s="20" t="str">
        <f aca="false">IF('Golden Dataset'!A11="","",'Golden Dataset'!A11)</f>
        <v>GC-010</v>
      </c>
      <c r="B50" s="20" t="str">
        <f aca="false">IF('Golden Dataset'!A11="","",'Golden Dataset'!F11)</f>
        <v>is_ai</v>
      </c>
      <c r="C50" s="20" t="str">
        <f aca="false">IF('Golden Dataset'!A11="","",'Golden Dataset'!G11)</f>
        <v>ai</v>
      </c>
      <c r="D50" s="20" t="str">
        <f aca="false">IF('Golden Dataset'!P11="","",'Golden Dataset'!P11)</f>
        <v>Happy-path baseline for is_ai=ai, and the cleaner contrast to GC-006's borderline case: here the PRODUCT is AI-centered by the JD's own words, not just the role's skill requirements.</v>
      </c>
      <c r="E50" s="20" t="str">
        <f aca="false">IF('Golden Dataset'!Q11="","",'Golden Dataset'!Q11)</f>
        <v/>
      </c>
      <c r="F50" s="20" t="str">
        <f aca="false">IF('Golden Dataset'!R11="","",'Golden Dataset'!R11)</f>
        <v/>
      </c>
      <c r="G50" s="20" t="str">
        <f aca="false">IF('Golden Dataset'!S11="","",'Golden Dataset'!S11)</f>
        <v/>
      </c>
    </row>
    <row r="51" customFormat="false" ht="15" hidden="false" customHeight="true" outlineLevel="0" collapsed="false">
      <c r="A51" s="20" t="str">
        <f aca="false">IF('Golden Dataset'!A12="","",'Golden Dataset'!A12)</f>
        <v>GC-011</v>
      </c>
      <c r="B51" s="20" t="str">
        <f aca="false">IF('Golden Dataset'!A12="","",'Golden Dataset'!F12)</f>
        <v>is_technical</v>
      </c>
      <c r="C51" s="20" t="str">
        <f aca="false">IF('Golden Dataset'!A12="","",'Golden Dataset'!G12)</f>
        <v>non_technical</v>
      </c>
      <c r="D51" s="20" t="str">
        <f aca="false">IF('Golden Dataset'!P12="","",'Golden Dataset'!P12)</f>
        <v>Happy-path baseline for is_technical=non_technical, contrast to GC-006/007's technical IK posting.</v>
      </c>
      <c r="E51" s="20" t="str">
        <f aca="false">IF('Golden Dataset'!Q12="","",'Golden Dataset'!Q12)</f>
        <v/>
      </c>
      <c r="F51" s="20" t="str">
        <f aca="false">IF('Golden Dataset'!R12="","",'Golden Dataset'!R12)</f>
        <v/>
      </c>
      <c r="G51" s="20" t="str">
        <f aca="false">IF('Golden Dataset'!S12="","",'Golden Dataset'!S12)</f>
        <v/>
      </c>
    </row>
    <row r="52" customFormat="false" ht="15" hidden="false" customHeight="true" outlineLevel="0" collapsed="false">
      <c r="A52" s="20" t="str">
        <f aca="false">IF('Golden Dataset'!A13="","",'Golden Dataset'!A13)</f>
        <v>GC-012</v>
      </c>
      <c r="B52" s="20" t="str">
        <f aca="false">IF('Golden Dataset'!A13="","",'Golden Dataset'!F13)</f>
        <v>technical_depth</v>
      </c>
      <c r="C52" s="20" t="n">
        <f aca="false">IF('Golden Dataset'!A13="","",'Golden Dataset'!G13)</f>
        <v>2</v>
      </c>
      <c r="D52" s="20" t="str">
        <f aca="false">IF('Golden Dataset'!P13="","",'Golden Dataset'!P13)</f>
        <v>FLAGGED, NOT YET CONFIRMED: technical_depth=2 vs. the rubric's own depth-3 example text look like they may be in tension for this exact JD (preferred-not-required SQL/dashboards). Resolve before trusting this row's expected_value as ground truth.</v>
      </c>
      <c r="E52" s="20" t="str">
        <f aca="false">IF('Golden Dataset'!Q13="","",'Golden Dataset'!Q13)</f>
        <v/>
      </c>
      <c r="F52" s="20" t="str">
        <f aca="false">IF('Golden Dataset'!R13="","",'Golden Dataset'!R13)</f>
        <v/>
      </c>
      <c r="G52" s="20" t="str">
        <f aca="false">IF('Golden Dataset'!S13="","",'Golden Dataset'!S13)</f>
        <v/>
      </c>
    </row>
    <row r="53" customFormat="false" ht="15" hidden="false" customHeight="true" outlineLevel="0" collapsed="false">
      <c r="A53" s="20" t="str">
        <f aca="false">IF('Golden Dataset'!A14="","",'Golden Dataset'!A14)</f>
        <v>GC-013</v>
      </c>
      <c r="B53" s="20" t="str">
        <f aca="false">IF('Golden Dataset'!A14="","",'Golden Dataset'!F14)</f>
        <v>remote_type</v>
      </c>
      <c r="C53" s="20" t="str">
        <f aca="false">IF('Golden Dataset'!A14="","",'Golden Dataset'!G14)</f>
        <v>remote_india</v>
      </c>
      <c r="D53" s="20" t="str">
        <f aca="false">IF('Golden Dataset'!P14="","",'Golden Dataset'!P14)</f>
        <v>Confirms the fail-open default (classify.ts / D-75's geoRecheckPrompt trigger condition) lands correctly on a genuinely silent-on-geography posting — this is the specific mechanism GC-005/GC-009 don't test, since both of those have explicit region statements.</v>
      </c>
      <c r="E53" s="20" t="str">
        <f aca="false">IF('Golden Dataset'!Q14="","",'Golden Dataset'!Q14)</f>
        <v/>
      </c>
      <c r="F53" s="20" t="str">
        <f aca="false">IF('Golden Dataset'!R14="","",'Golden Dataset'!R14)</f>
        <v/>
      </c>
      <c r="G53" s="20" t="str">
        <f aca="false">IF('Golden Dataset'!S14="","",'Golden Dataset'!S14)</f>
        <v/>
      </c>
    </row>
    <row r="54" customFormat="false" ht="15" hidden="false" customHeight="true" outlineLevel="0" collapsed="false">
      <c r="A54" s="20" t="str">
        <f aca="false">IF('Golden Dataset'!A15="","",'Golden Dataset'!A15)</f>
        <v>GC-014</v>
      </c>
      <c r="B54" s="20" t="str">
        <f aca="false">IF('Golden Dataset'!A15="","",'Golden Dataset'!F15)</f>
        <v>geo_explicit</v>
      </c>
      <c r="C54" s="22" t="b">
        <f aca="false">IF('Golden Dataset'!A15="","",'Golden Dataset'!G15)</f>
        <v>0</v>
      </c>
      <c r="D54" s="20" t="str">
        <f aca="false">IF('Golden Dataset'!P15="","",'Golden Dataset'!P15)</f>
        <v>Companion row to GC-013 — confirms geo_explicit correctly reads FALSE here (silence) rather than TRUE, which is what would incorrectly skip the fail-open safety net (geoRecheckPrompt, D-75).</v>
      </c>
      <c r="E54" s="20" t="str">
        <f aca="false">IF('Golden Dataset'!Q15="","",'Golden Dataset'!Q15)</f>
        <v/>
      </c>
      <c r="F54" s="20" t="str">
        <f aca="false">IF('Golden Dataset'!R15="","",'Golden Dataset'!R15)</f>
        <v/>
      </c>
      <c r="G54" s="20" t="str">
        <f aca="false">IF('Golden Dataset'!S15="","",'Golden Dataset'!S15)</f>
        <v/>
      </c>
    </row>
    <row r="55" customFormat="false" ht="15" hidden="false" customHeight="true" outlineLevel="0" collapsed="false">
      <c r="A55" s="20" t="str">
        <f aca="false">IF('Golden Dataset'!A16="","",'Golden Dataset'!A16)</f>
        <v>GC-015</v>
      </c>
      <c r="B55" s="20" t="str">
        <f aca="false">IF('Golden Dataset'!A16="","",'Golden Dataset'!F16)</f>
        <v>is_ai</v>
      </c>
      <c r="C55" s="20" t="str">
        <f aca="false">IF('Golden Dataset'!A16="","",'Golden Dataset'!G16)</f>
        <v>ai</v>
      </c>
      <c r="D55" s="20" t="str">
        <f aca="false">IF('Golden Dataset'!P16="","",'Golden Dataset'!P16)</f>
        <v>Happy-path baseline for is_ai=ai — third distinct flavor of AI-relatedness after GC-006 (role needs AI skills, borderline) and GC-010 (product is AI, clean): here the WORK is literally training an AI lab's model, a third clean case.</v>
      </c>
      <c r="E55" s="20" t="str">
        <f aca="false">IF('Golden Dataset'!Q16="","",'Golden Dataset'!Q16)</f>
        <v/>
      </c>
      <c r="F55" s="20" t="str">
        <f aca="false">IF('Golden Dataset'!R16="","",'Golden Dataset'!R16)</f>
        <v/>
      </c>
      <c r="G55" s="20" t="str">
        <f aca="false">IF('Golden Dataset'!S16="","",'Golden Dataset'!S16)</f>
        <v/>
      </c>
    </row>
    <row r="56" customFormat="false" ht="15" hidden="false" customHeight="true" outlineLevel="0" collapsed="false">
      <c r="A56" s="20" t="str">
        <f aca="false">IF('Golden Dataset'!A17="","",'Golden Dataset'!A17)</f>
        <v/>
      </c>
      <c r="B56" s="20" t="str">
        <f aca="false">IF('Golden Dataset'!A17="","",'Golden Dataset'!F17)</f>
        <v/>
      </c>
      <c r="C56" s="20" t="str">
        <f aca="false">IF('Golden Dataset'!A17="","",'Golden Dataset'!G17)</f>
        <v/>
      </c>
      <c r="D56" s="20" t="str">
        <f aca="false">IF('Golden Dataset'!P17="","",'Golden Dataset'!P17)</f>
        <v/>
      </c>
      <c r="E56" s="20" t="str">
        <f aca="false">IF('Golden Dataset'!Q17="","",'Golden Dataset'!Q17)</f>
        <v/>
      </c>
      <c r="F56" s="20" t="str">
        <f aca="false">IF('Golden Dataset'!R17="","",'Golden Dataset'!R17)</f>
        <v/>
      </c>
      <c r="G56" s="20" t="str">
        <f aca="false">IF('Golden Dataset'!S17="","",'Golden Dataset'!S17)</f>
        <v/>
      </c>
    </row>
    <row r="57" customFormat="false" ht="15" hidden="false" customHeight="true" outlineLevel="0" collapsed="false">
      <c r="A57" s="20" t="str">
        <f aca="false">IF('Golden Dataset'!A18="","",'Golden Dataset'!A18)</f>
        <v/>
      </c>
      <c r="B57" s="20" t="str">
        <f aca="false">IF('Golden Dataset'!A18="","",'Golden Dataset'!F18)</f>
        <v/>
      </c>
      <c r="C57" s="20" t="str">
        <f aca="false">IF('Golden Dataset'!A18="","",'Golden Dataset'!G18)</f>
        <v/>
      </c>
      <c r="D57" s="20" t="str">
        <f aca="false">IF('Golden Dataset'!P18="","",'Golden Dataset'!P18)</f>
        <v/>
      </c>
      <c r="E57" s="20" t="str">
        <f aca="false">IF('Golden Dataset'!Q18="","",'Golden Dataset'!Q18)</f>
        <v/>
      </c>
      <c r="F57" s="20" t="str">
        <f aca="false">IF('Golden Dataset'!R18="","",'Golden Dataset'!R18)</f>
        <v/>
      </c>
      <c r="G57" s="20" t="str">
        <f aca="false">IF('Golden Dataset'!S18="","",'Golden Dataset'!S18)</f>
        <v/>
      </c>
    </row>
    <row r="58" customFormat="false" ht="15" hidden="false" customHeight="true" outlineLevel="0" collapsed="false">
      <c r="A58" s="20" t="str">
        <f aca="false">IF('Golden Dataset'!A19="","",'Golden Dataset'!A19)</f>
        <v/>
      </c>
      <c r="B58" s="20" t="str">
        <f aca="false">IF('Golden Dataset'!A19="","",'Golden Dataset'!F19)</f>
        <v/>
      </c>
      <c r="C58" s="20" t="str">
        <f aca="false">IF('Golden Dataset'!A19="","",'Golden Dataset'!G19)</f>
        <v/>
      </c>
      <c r="D58" s="20" t="str">
        <f aca="false">IF('Golden Dataset'!P19="","",'Golden Dataset'!P19)</f>
        <v/>
      </c>
      <c r="E58" s="20" t="str">
        <f aca="false">IF('Golden Dataset'!Q19="","",'Golden Dataset'!Q19)</f>
        <v/>
      </c>
      <c r="F58" s="20" t="str">
        <f aca="false">IF('Golden Dataset'!R19="","",'Golden Dataset'!R19)</f>
        <v/>
      </c>
      <c r="G58" s="20" t="str">
        <f aca="false">IF('Golden Dataset'!S19="","",'Golden Dataset'!S19)</f>
        <v/>
      </c>
    </row>
    <row r="59" customFormat="false" ht="15" hidden="false" customHeight="true" outlineLevel="0" collapsed="false">
      <c r="A59" s="20" t="str">
        <f aca="false">IF('Golden Dataset'!A20="","",'Golden Dataset'!A20)</f>
        <v/>
      </c>
      <c r="B59" s="20" t="str">
        <f aca="false">IF('Golden Dataset'!A20="","",'Golden Dataset'!F20)</f>
        <v/>
      </c>
      <c r="C59" s="20" t="str">
        <f aca="false">IF('Golden Dataset'!A20="","",'Golden Dataset'!G20)</f>
        <v/>
      </c>
      <c r="D59" s="20" t="str">
        <f aca="false">IF('Golden Dataset'!P20="","",'Golden Dataset'!P20)</f>
        <v/>
      </c>
      <c r="E59" s="20" t="str">
        <f aca="false">IF('Golden Dataset'!Q20="","",'Golden Dataset'!Q20)</f>
        <v/>
      </c>
      <c r="F59" s="20" t="str">
        <f aca="false">IF('Golden Dataset'!R20="","",'Golden Dataset'!R20)</f>
        <v/>
      </c>
      <c r="G59" s="20" t="str">
        <f aca="false">IF('Golden Dataset'!S20="","",'Golden Dataset'!S20)</f>
        <v/>
      </c>
    </row>
    <row r="60" customFormat="false" ht="15" hidden="false" customHeight="true" outlineLevel="0" collapsed="false">
      <c r="A60" s="20" t="str">
        <f aca="false">IF('Golden Dataset'!A21="","",'Golden Dataset'!A21)</f>
        <v/>
      </c>
      <c r="B60" s="20" t="str">
        <f aca="false">IF('Golden Dataset'!A21="","",'Golden Dataset'!F21)</f>
        <v/>
      </c>
      <c r="C60" s="20" t="str">
        <f aca="false">IF('Golden Dataset'!A21="","",'Golden Dataset'!G21)</f>
        <v/>
      </c>
      <c r="D60" s="20" t="str">
        <f aca="false">IF('Golden Dataset'!P21="","",'Golden Dataset'!P21)</f>
        <v/>
      </c>
      <c r="E60" s="20" t="str">
        <f aca="false">IF('Golden Dataset'!Q21="","",'Golden Dataset'!Q21)</f>
        <v/>
      </c>
      <c r="F60" s="20" t="str">
        <f aca="false">IF('Golden Dataset'!R21="","",'Golden Dataset'!R21)</f>
        <v/>
      </c>
      <c r="G60" s="20" t="str">
        <f aca="false">IF('Golden Dataset'!S21="","",'Golden Dataset'!S21)</f>
        <v/>
      </c>
    </row>
    <row r="61" customFormat="false" ht="15" hidden="false" customHeight="true" outlineLevel="0" collapsed="false">
      <c r="A61" s="20" t="str">
        <f aca="false">IF('Golden Dataset'!A22="","",'Golden Dataset'!A22)</f>
        <v/>
      </c>
      <c r="B61" s="20" t="str">
        <f aca="false">IF('Golden Dataset'!A22="","",'Golden Dataset'!F22)</f>
        <v/>
      </c>
      <c r="C61" s="20" t="str">
        <f aca="false">IF('Golden Dataset'!A22="","",'Golden Dataset'!G22)</f>
        <v/>
      </c>
      <c r="D61" s="20" t="str">
        <f aca="false">IF('Golden Dataset'!P22="","",'Golden Dataset'!P22)</f>
        <v/>
      </c>
      <c r="E61" s="20" t="str">
        <f aca="false">IF('Golden Dataset'!Q22="","",'Golden Dataset'!Q22)</f>
        <v/>
      </c>
      <c r="F61" s="20" t="str">
        <f aca="false">IF('Golden Dataset'!R22="","",'Golden Dataset'!R22)</f>
        <v/>
      </c>
      <c r="G61" s="20" t="str">
        <f aca="false">IF('Golden Dataset'!S22="","",'Golden Dataset'!S22)</f>
        <v/>
      </c>
    </row>
    <row r="62" customFormat="false" ht="15" hidden="false" customHeight="true" outlineLevel="0" collapsed="false">
      <c r="A62" s="20" t="str">
        <f aca="false">IF('Golden Dataset'!A23="","",'Golden Dataset'!A23)</f>
        <v/>
      </c>
      <c r="B62" s="20" t="str">
        <f aca="false">IF('Golden Dataset'!A23="","",'Golden Dataset'!F23)</f>
        <v/>
      </c>
      <c r="C62" s="20" t="str">
        <f aca="false">IF('Golden Dataset'!A23="","",'Golden Dataset'!G23)</f>
        <v/>
      </c>
      <c r="D62" s="20" t="str">
        <f aca="false">IF('Golden Dataset'!P23="","",'Golden Dataset'!P23)</f>
        <v/>
      </c>
      <c r="E62" s="20" t="str">
        <f aca="false">IF('Golden Dataset'!Q23="","",'Golden Dataset'!Q23)</f>
        <v/>
      </c>
      <c r="F62" s="20" t="str">
        <f aca="false">IF('Golden Dataset'!R23="","",'Golden Dataset'!R23)</f>
        <v/>
      </c>
      <c r="G62" s="20" t="str">
        <f aca="false">IF('Golden Dataset'!S23="","",'Golden Dataset'!S23)</f>
        <v/>
      </c>
    </row>
    <row r="63" customFormat="false" ht="15" hidden="false" customHeight="true" outlineLevel="0" collapsed="false">
      <c r="A63" s="20" t="str">
        <f aca="false">IF('Golden Dataset'!A24="","",'Golden Dataset'!A24)</f>
        <v/>
      </c>
      <c r="B63" s="20" t="str">
        <f aca="false">IF('Golden Dataset'!A24="","",'Golden Dataset'!F24)</f>
        <v/>
      </c>
      <c r="C63" s="20" t="str">
        <f aca="false">IF('Golden Dataset'!A24="","",'Golden Dataset'!G24)</f>
        <v/>
      </c>
      <c r="D63" s="20" t="str">
        <f aca="false">IF('Golden Dataset'!P24="","",'Golden Dataset'!P24)</f>
        <v/>
      </c>
      <c r="E63" s="20" t="str">
        <f aca="false">IF('Golden Dataset'!Q24="","",'Golden Dataset'!Q24)</f>
        <v/>
      </c>
      <c r="F63" s="20" t="str">
        <f aca="false">IF('Golden Dataset'!R24="","",'Golden Dataset'!R24)</f>
        <v/>
      </c>
      <c r="G63" s="20" t="str">
        <f aca="false">IF('Golden Dataset'!S24="","",'Golden Dataset'!S24)</f>
        <v/>
      </c>
    </row>
    <row r="64" customFormat="false" ht="15" hidden="false" customHeight="true" outlineLevel="0" collapsed="false">
      <c r="A64" s="20" t="str">
        <f aca="false">IF('Golden Dataset'!A25="","",'Golden Dataset'!A25)</f>
        <v/>
      </c>
      <c r="B64" s="20" t="str">
        <f aca="false">IF('Golden Dataset'!A25="","",'Golden Dataset'!F25)</f>
        <v/>
      </c>
      <c r="C64" s="20" t="str">
        <f aca="false">IF('Golden Dataset'!A25="","",'Golden Dataset'!G25)</f>
        <v/>
      </c>
      <c r="D64" s="20" t="str">
        <f aca="false">IF('Golden Dataset'!P25="","",'Golden Dataset'!P25)</f>
        <v/>
      </c>
      <c r="E64" s="20" t="str">
        <f aca="false">IF('Golden Dataset'!Q25="","",'Golden Dataset'!Q25)</f>
        <v/>
      </c>
      <c r="F64" s="20" t="str">
        <f aca="false">IF('Golden Dataset'!R25="","",'Golden Dataset'!R25)</f>
        <v/>
      </c>
      <c r="G64" s="20" t="str">
        <f aca="false">IF('Golden Dataset'!S25="","",'Golden Dataset'!S25)</f>
        <v/>
      </c>
    </row>
    <row r="65" customFormat="false" ht="15" hidden="false" customHeight="true" outlineLevel="0" collapsed="false">
      <c r="A65" s="20" t="str">
        <f aca="false">IF('Golden Dataset'!A26="","",'Golden Dataset'!A26)</f>
        <v/>
      </c>
      <c r="B65" s="20" t="str">
        <f aca="false">IF('Golden Dataset'!A26="","",'Golden Dataset'!F26)</f>
        <v/>
      </c>
      <c r="C65" s="20" t="str">
        <f aca="false">IF('Golden Dataset'!A26="","",'Golden Dataset'!G26)</f>
        <v/>
      </c>
      <c r="D65" s="20" t="str">
        <f aca="false">IF('Golden Dataset'!P26="","",'Golden Dataset'!P26)</f>
        <v/>
      </c>
      <c r="E65" s="20" t="str">
        <f aca="false">IF('Golden Dataset'!Q26="","",'Golden Dataset'!Q26)</f>
        <v/>
      </c>
      <c r="F65" s="20" t="str">
        <f aca="false">IF('Golden Dataset'!R26="","",'Golden Dataset'!R26)</f>
        <v/>
      </c>
      <c r="G65" s="20" t="str">
        <f aca="false">IF('Golden Dataset'!S26="","",'Golden Dataset'!S26)</f>
        <v/>
      </c>
    </row>
    <row r="66" customFormat="false" ht="15" hidden="false" customHeight="true" outlineLevel="0" collapsed="false">
      <c r="A66" s="20" t="str">
        <f aca="false">IF('Golden Dataset'!A27="","",'Golden Dataset'!A27)</f>
        <v/>
      </c>
      <c r="B66" s="20" t="str">
        <f aca="false">IF('Golden Dataset'!A27="","",'Golden Dataset'!F27)</f>
        <v/>
      </c>
      <c r="C66" s="20" t="str">
        <f aca="false">IF('Golden Dataset'!A27="","",'Golden Dataset'!G27)</f>
        <v/>
      </c>
      <c r="D66" s="20" t="str">
        <f aca="false">IF('Golden Dataset'!P27="","",'Golden Dataset'!P27)</f>
        <v/>
      </c>
      <c r="E66" s="20" t="str">
        <f aca="false">IF('Golden Dataset'!Q27="","",'Golden Dataset'!Q27)</f>
        <v/>
      </c>
      <c r="F66" s="20" t="str">
        <f aca="false">IF('Golden Dataset'!R27="","",'Golden Dataset'!R27)</f>
        <v/>
      </c>
      <c r="G66" s="20" t="str">
        <f aca="false">IF('Golden Dataset'!S27="","",'Golden Dataset'!S27)</f>
        <v/>
      </c>
    </row>
    <row r="67" customFormat="false" ht="15" hidden="false" customHeight="true" outlineLevel="0" collapsed="false">
      <c r="A67" s="20" t="str">
        <f aca="false">IF('Golden Dataset'!A28="","",'Golden Dataset'!A28)</f>
        <v/>
      </c>
      <c r="B67" s="20" t="str">
        <f aca="false">IF('Golden Dataset'!A28="","",'Golden Dataset'!F28)</f>
        <v/>
      </c>
      <c r="C67" s="20" t="str">
        <f aca="false">IF('Golden Dataset'!A28="","",'Golden Dataset'!G28)</f>
        <v/>
      </c>
      <c r="D67" s="20" t="str">
        <f aca="false">IF('Golden Dataset'!P28="","",'Golden Dataset'!P28)</f>
        <v/>
      </c>
      <c r="E67" s="20" t="str">
        <f aca="false">IF('Golden Dataset'!Q28="","",'Golden Dataset'!Q28)</f>
        <v/>
      </c>
      <c r="F67" s="20" t="str">
        <f aca="false">IF('Golden Dataset'!R28="","",'Golden Dataset'!R28)</f>
        <v/>
      </c>
      <c r="G67" s="20" t="str">
        <f aca="false">IF('Golden Dataset'!S28="","",'Golden Dataset'!S28)</f>
        <v/>
      </c>
    </row>
    <row r="68" customFormat="false" ht="15" hidden="false" customHeight="true" outlineLevel="0" collapsed="false">
      <c r="A68" s="20" t="str">
        <f aca="false">IF('Golden Dataset'!A29="","",'Golden Dataset'!A29)</f>
        <v/>
      </c>
      <c r="B68" s="20" t="str">
        <f aca="false">IF('Golden Dataset'!A29="","",'Golden Dataset'!F29)</f>
        <v/>
      </c>
      <c r="C68" s="20" t="str">
        <f aca="false">IF('Golden Dataset'!A29="","",'Golden Dataset'!G29)</f>
        <v/>
      </c>
      <c r="D68" s="20" t="str">
        <f aca="false">IF('Golden Dataset'!P29="","",'Golden Dataset'!P29)</f>
        <v/>
      </c>
      <c r="E68" s="20" t="str">
        <f aca="false">IF('Golden Dataset'!Q29="","",'Golden Dataset'!Q29)</f>
        <v/>
      </c>
      <c r="F68" s="20" t="str">
        <f aca="false">IF('Golden Dataset'!R29="","",'Golden Dataset'!R29)</f>
        <v/>
      </c>
      <c r="G68" s="20" t="str">
        <f aca="false">IF('Golden Dataset'!S29="","",'Golden Dataset'!S29)</f>
        <v/>
      </c>
    </row>
    <row r="69" customFormat="false" ht="15" hidden="false" customHeight="true" outlineLevel="0" collapsed="false">
      <c r="A69" s="20" t="str">
        <f aca="false">IF('Golden Dataset'!A30="","",'Golden Dataset'!A30)</f>
        <v/>
      </c>
      <c r="B69" s="20" t="str">
        <f aca="false">IF('Golden Dataset'!A30="","",'Golden Dataset'!F30)</f>
        <v/>
      </c>
      <c r="C69" s="20" t="str">
        <f aca="false">IF('Golden Dataset'!A30="","",'Golden Dataset'!G30)</f>
        <v/>
      </c>
      <c r="D69" s="20" t="str">
        <f aca="false">IF('Golden Dataset'!P30="","",'Golden Dataset'!P30)</f>
        <v/>
      </c>
      <c r="E69" s="20" t="str">
        <f aca="false">IF('Golden Dataset'!Q30="","",'Golden Dataset'!Q30)</f>
        <v/>
      </c>
      <c r="F69" s="20" t="str">
        <f aca="false">IF('Golden Dataset'!R30="","",'Golden Dataset'!R30)</f>
        <v/>
      </c>
      <c r="G69" s="20" t="str">
        <f aca="false">IF('Golden Dataset'!S30="","",'Golden Dataset'!S30)</f>
        <v/>
      </c>
    </row>
    <row r="70" customFormat="false" ht="15" hidden="false" customHeight="true" outlineLevel="0" collapsed="false">
      <c r="A70" s="20" t="str">
        <f aca="false">IF('Golden Dataset'!A31="","",'Golden Dataset'!A31)</f>
        <v/>
      </c>
      <c r="B70" s="20" t="str">
        <f aca="false">IF('Golden Dataset'!A31="","",'Golden Dataset'!F31)</f>
        <v/>
      </c>
      <c r="C70" s="20" t="str">
        <f aca="false">IF('Golden Dataset'!A31="","",'Golden Dataset'!G31)</f>
        <v/>
      </c>
      <c r="D70" s="20" t="str">
        <f aca="false">IF('Golden Dataset'!P31="","",'Golden Dataset'!P31)</f>
        <v/>
      </c>
      <c r="E70" s="20" t="str">
        <f aca="false">IF('Golden Dataset'!Q31="","",'Golden Dataset'!Q31)</f>
        <v/>
      </c>
      <c r="F70" s="20" t="str">
        <f aca="false">IF('Golden Dataset'!R31="","",'Golden Dataset'!R31)</f>
        <v/>
      </c>
      <c r="G70" s="20" t="str">
        <f aca="false">IF('Golden Dataset'!S31="","",'Golden Dataset'!S31)</f>
        <v/>
      </c>
    </row>
    <row r="71" customFormat="false" ht="15" hidden="false" customHeight="true" outlineLevel="0" collapsed="false">
      <c r="A71" s="20" t="str">
        <f aca="false">IF('Golden Dataset'!A32="","",'Golden Dataset'!A32)</f>
        <v/>
      </c>
      <c r="B71" s="20" t="str">
        <f aca="false">IF('Golden Dataset'!A32="","",'Golden Dataset'!F32)</f>
        <v/>
      </c>
      <c r="C71" s="20" t="str">
        <f aca="false">IF('Golden Dataset'!A32="","",'Golden Dataset'!G32)</f>
        <v/>
      </c>
      <c r="D71" s="20" t="str">
        <f aca="false">IF('Golden Dataset'!P32="","",'Golden Dataset'!P32)</f>
        <v/>
      </c>
      <c r="E71" s="20" t="str">
        <f aca="false">IF('Golden Dataset'!Q32="","",'Golden Dataset'!Q32)</f>
        <v/>
      </c>
      <c r="F71" s="20" t="str">
        <f aca="false">IF('Golden Dataset'!R32="","",'Golden Dataset'!R32)</f>
        <v/>
      </c>
      <c r="G71" s="20" t="str">
        <f aca="false">IF('Golden Dataset'!S32="","",'Golden Dataset'!S32)</f>
        <v/>
      </c>
    </row>
    <row r="72" customFormat="false" ht="15" hidden="false" customHeight="true" outlineLevel="0" collapsed="false">
      <c r="A72" s="20" t="str">
        <f aca="false">IF('Golden Dataset'!A33="","",'Golden Dataset'!A33)</f>
        <v/>
      </c>
      <c r="B72" s="20" t="str">
        <f aca="false">IF('Golden Dataset'!A33="","",'Golden Dataset'!F33)</f>
        <v/>
      </c>
      <c r="C72" s="20" t="str">
        <f aca="false">IF('Golden Dataset'!A33="","",'Golden Dataset'!G33)</f>
        <v/>
      </c>
      <c r="D72" s="20" t="str">
        <f aca="false">IF('Golden Dataset'!P33="","",'Golden Dataset'!P33)</f>
        <v/>
      </c>
      <c r="E72" s="20" t="str">
        <f aca="false">IF('Golden Dataset'!Q33="","",'Golden Dataset'!Q33)</f>
        <v/>
      </c>
      <c r="F72" s="20" t="str">
        <f aca="false">IF('Golden Dataset'!R33="","",'Golden Dataset'!R33)</f>
        <v/>
      </c>
      <c r="G72" s="20" t="str">
        <f aca="false">IF('Golden Dataset'!S33="","",'Golden Dataset'!S33)</f>
        <v/>
      </c>
    </row>
    <row r="73" customFormat="false" ht="15" hidden="false" customHeight="true" outlineLevel="0" collapsed="false">
      <c r="A73" s="20" t="str">
        <f aca="false">IF('Golden Dataset'!A34="","",'Golden Dataset'!A34)</f>
        <v/>
      </c>
      <c r="B73" s="20" t="str">
        <f aca="false">IF('Golden Dataset'!A34="","",'Golden Dataset'!F34)</f>
        <v/>
      </c>
      <c r="C73" s="20" t="str">
        <f aca="false">IF('Golden Dataset'!A34="","",'Golden Dataset'!G34)</f>
        <v/>
      </c>
      <c r="D73" s="20" t="str">
        <f aca="false">IF('Golden Dataset'!P34="","",'Golden Dataset'!P34)</f>
        <v/>
      </c>
      <c r="E73" s="20" t="str">
        <f aca="false">IF('Golden Dataset'!Q34="","",'Golden Dataset'!Q34)</f>
        <v/>
      </c>
      <c r="F73" s="20" t="str">
        <f aca="false">IF('Golden Dataset'!R34="","",'Golden Dataset'!R34)</f>
        <v/>
      </c>
      <c r="G73" s="20" t="str">
        <f aca="false">IF('Golden Dataset'!S34="","",'Golden Dataset'!S34)</f>
        <v/>
      </c>
    </row>
    <row r="74" customFormat="false" ht="15" hidden="false" customHeight="true" outlineLevel="0" collapsed="false">
      <c r="A74" s="20" t="str">
        <f aca="false">IF('Golden Dataset'!A35="","",'Golden Dataset'!A35)</f>
        <v/>
      </c>
      <c r="B74" s="20" t="str">
        <f aca="false">IF('Golden Dataset'!A35="","",'Golden Dataset'!F35)</f>
        <v/>
      </c>
      <c r="C74" s="20" t="str">
        <f aca="false">IF('Golden Dataset'!A35="","",'Golden Dataset'!G35)</f>
        <v/>
      </c>
      <c r="D74" s="20" t="str">
        <f aca="false">IF('Golden Dataset'!P35="","",'Golden Dataset'!P35)</f>
        <v/>
      </c>
      <c r="E74" s="20" t="str">
        <f aca="false">IF('Golden Dataset'!Q35="","",'Golden Dataset'!Q35)</f>
        <v/>
      </c>
      <c r="F74" s="20" t="str">
        <f aca="false">IF('Golden Dataset'!R35="","",'Golden Dataset'!R35)</f>
        <v/>
      </c>
      <c r="G74" s="20" t="str">
        <f aca="false">IF('Golden Dataset'!S35="","",'Golden Dataset'!S35)</f>
        <v/>
      </c>
    </row>
    <row r="75" customFormat="false" ht="15" hidden="false" customHeight="true" outlineLevel="0" collapsed="false">
      <c r="A75" s="20" t="str">
        <f aca="false">IF('Golden Dataset'!A36="","",'Golden Dataset'!A36)</f>
        <v/>
      </c>
      <c r="B75" s="20" t="str">
        <f aca="false">IF('Golden Dataset'!A36="","",'Golden Dataset'!F36)</f>
        <v/>
      </c>
      <c r="C75" s="20" t="str">
        <f aca="false">IF('Golden Dataset'!A36="","",'Golden Dataset'!G36)</f>
        <v/>
      </c>
      <c r="D75" s="20" t="str">
        <f aca="false">IF('Golden Dataset'!P36="","",'Golden Dataset'!P36)</f>
        <v/>
      </c>
      <c r="E75" s="20" t="str">
        <f aca="false">IF('Golden Dataset'!Q36="","",'Golden Dataset'!Q36)</f>
        <v/>
      </c>
      <c r="F75" s="20" t="str">
        <f aca="false">IF('Golden Dataset'!R36="","",'Golden Dataset'!R36)</f>
        <v/>
      </c>
      <c r="G75" s="20" t="str">
        <f aca="false">IF('Golden Dataset'!S36="","",'Golden Dataset'!S36)</f>
        <v/>
      </c>
    </row>
    <row r="76" customFormat="false" ht="15" hidden="false" customHeight="true" outlineLevel="0" collapsed="false">
      <c r="A76" s="20" t="str">
        <f aca="false">IF('Golden Dataset'!A37="","",'Golden Dataset'!A37)</f>
        <v/>
      </c>
      <c r="B76" s="20" t="str">
        <f aca="false">IF('Golden Dataset'!A37="","",'Golden Dataset'!F37)</f>
        <v/>
      </c>
      <c r="C76" s="20" t="str">
        <f aca="false">IF('Golden Dataset'!A37="","",'Golden Dataset'!G37)</f>
        <v/>
      </c>
      <c r="D76" s="20" t="str">
        <f aca="false">IF('Golden Dataset'!P37="","",'Golden Dataset'!P37)</f>
        <v/>
      </c>
      <c r="E76" s="20" t="str">
        <f aca="false">IF('Golden Dataset'!Q37="","",'Golden Dataset'!Q37)</f>
        <v/>
      </c>
      <c r="F76" s="20" t="str">
        <f aca="false">IF('Golden Dataset'!R37="","",'Golden Dataset'!R37)</f>
        <v/>
      </c>
      <c r="G76" s="20" t="str">
        <f aca="false">IF('Golden Dataset'!S37="","",'Golden Dataset'!S37)</f>
        <v/>
      </c>
    </row>
    <row r="77" customFormat="false" ht="15" hidden="false" customHeight="true" outlineLevel="0" collapsed="false">
      <c r="A77" s="20" t="str">
        <f aca="false">IF('Golden Dataset'!A38="","",'Golden Dataset'!A38)</f>
        <v/>
      </c>
      <c r="B77" s="20" t="str">
        <f aca="false">IF('Golden Dataset'!A38="","",'Golden Dataset'!F38)</f>
        <v/>
      </c>
      <c r="C77" s="20" t="str">
        <f aca="false">IF('Golden Dataset'!A38="","",'Golden Dataset'!G38)</f>
        <v/>
      </c>
      <c r="D77" s="20" t="str">
        <f aca="false">IF('Golden Dataset'!P38="","",'Golden Dataset'!P38)</f>
        <v/>
      </c>
      <c r="E77" s="20" t="str">
        <f aca="false">IF('Golden Dataset'!Q38="","",'Golden Dataset'!Q38)</f>
        <v/>
      </c>
      <c r="F77" s="20" t="str">
        <f aca="false">IF('Golden Dataset'!R38="","",'Golden Dataset'!R38)</f>
        <v/>
      </c>
      <c r="G77" s="20" t="str">
        <f aca="false">IF('Golden Dataset'!S38="","",'Golden Dataset'!S38)</f>
        <v/>
      </c>
    </row>
    <row r="78" customFormat="false" ht="15" hidden="false" customHeight="true" outlineLevel="0" collapsed="false">
      <c r="A78" s="20" t="str">
        <f aca="false">IF('Golden Dataset'!A39="","",'Golden Dataset'!A39)</f>
        <v/>
      </c>
      <c r="B78" s="20" t="str">
        <f aca="false">IF('Golden Dataset'!A39="","",'Golden Dataset'!F39)</f>
        <v/>
      </c>
      <c r="C78" s="20" t="str">
        <f aca="false">IF('Golden Dataset'!A39="","",'Golden Dataset'!G39)</f>
        <v/>
      </c>
      <c r="D78" s="20" t="str">
        <f aca="false">IF('Golden Dataset'!P39="","",'Golden Dataset'!P39)</f>
        <v/>
      </c>
      <c r="E78" s="20" t="str">
        <f aca="false">IF('Golden Dataset'!Q39="","",'Golden Dataset'!Q39)</f>
        <v/>
      </c>
      <c r="F78" s="20" t="str">
        <f aca="false">IF('Golden Dataset'!R39="","",'Golden Dataset'!R39)</f>
        <v/>
      </c>
      <c r="G78" s="20" t="str">
        <f aca="false">IF('Golden Dataset'!S39="","",'Golden Dataset'!S39)</f>
        <v/>
      </c>
    </row>
    <row r="79" customFormat="false" ht="15" hidden="false" customHeight="true" outlineLevel="0" collapsed="false">
      <c r="A79" s="20" t="str">
        <f aca="false">IF('Golden Dataset'!A40="","",'Golden Dataset'!A40)</f>
        <v/>
      </c>
      <c r="B79" s="20" t="str">
        <f aca="false">IF('Golden Dataset'!A40="","",'Golden Dataset'!F40)</f>
        <v/>
      </c>
      <c r="C79" s="20" t="str">
        <f aca="false">IF('Golden Dataset'!A40="","",'Golden Dataset'!G40)</f>
        <v/>
      </c>
      <c r="D79" s="20" t="str">
        <f aca="false">IF('Golden Dataset'!P40="","",'Golden Dataset'!P40)</f>
        <v/>
      </c>
      <c r="E79" s="20" t="str">
        <f aca="false">IF('Golden Dataset'!Q40="","",'Golden Dataset'!Q40)</f>
        <v/>
      </c>
      <c r="F79" s="20" t="str">
        <f aca="false">IF('Golden Dataset'!R40="","",'Golden Dataset'!R40)</f>
        <v/>
      </c>
      <c r="G79" s="20" t="str">
        <f aca="false">IF('Golden Dataset'!S40="","",'Golden Dataset'!S40)</f>
        <v/>
      </c>
    </row>
    <row r="80" customFormat="false" ht="15" hidden="false" customHeight="true" outlineLevel="0" collapsed="false">
      <c r="A80" s="20" t="str">
        <f aca="false">IF('Golden Dataset'!A41="","",'Golden Dataset'!A41)</f>
        <v/>
      </c>
      <c r="B80" s="20" t="str">
        <f aca="false">IF('Golden Dataset'!A41="","",'Golden Dataset'!F41)</f>
        <v/>
      </c>
      <c r="C80" s="20" t="str">
        <f aca="false">IF('Golden Dataset'!A41="","",'Golden Dataset'!G41)</f>
        <v/>
      </c>
      <c r="D80" s="20" t="str">
        <f aca="false">IF('Golden Dataset'!P41="","",'Golden Dataset'!P41)</f>
        <v/>
      </c>
      <c r="E80" s="20" t="str">
        <f aca="false">IF('Golden Dataset'!Q41="","",'Golden Dataset'!Q41)</f>
        <v/>
      </c>
      <c r="F80" s="20" t="str">
        <f aca="false">IF('Golden Dataset'!R41="","",'Golden Dataset'!R41)</f>
        <v/>
      </c>
      <c r="G80" s="20" t="str">
        <f aca="false">IF('Golden Dataset'!S41="","",'Golden Dataset'!S41)</f>
        <v/>
      </c>
    </row>
    <row r="81" customFormat="false" ht="15" hidden="false" customHeight="true" outlineLevel="0" collapsed="false">
      <c r="A81" s="20" t="str">
        <f aca="false">IF('Golden Dataset'!A42="","",'Golden Dataset'!A42)</f>
        <v/>
      </c>
      <c r="B81" s="20" t="str">
        <f aca="false">IF('Golden Dataset'!A42="","",'Golden Dataset'!F42)</f>
        <v/>
      </c>
      <c r="C81" s="20" t="str">
        <f aca="false">IF('Golden Dataset'!A42="","",'Golden Dataset'!G42)</f>
        <v/>
      </c>
      <c r="D81" s="20" t="str">
        <f aca="false">IF('Golden Dataset'!P42="","",'Golden Dataset'!P42)</f>
        <v/>
      </c>
      <c r="E81" s="20" t="str">
        <f aca="false">IF('Golden Dataset'!Q42="","",'Golden Dataset'!Q42)</f>
        <v/>
      </c>
      <c r="F81" s="20" t="str">
        <f aca="false">IF('Golden Dataset'!R42="","",'Golden Dataset'!R42)</f>
        <v/>
      </c>
      <c r="G81" s="20" t="str">
        <f aca="false">IF('Golden Dataset'!S42="","",'Golden Dataset'!S42)</f>
        <v/>
      </c>
    </row>
    <row r="82" customFormat="false" ht="15" hidden="false" customHeight="true" outlineLevel="0" collapsed="false">
      <c r="A82" s="20" t="str">
        <f aca="false">IF('Golden Dataset'!A43="","",'Golden Dataset'!A43)</f>
        <v/>
      </c>
      <c r="B82" s="20" t="str">
        <f aca="false">IF('Golden Dataset'!A43="","",'Golden Dataset'!F43)</f>
        <v/>
      </c>
      <c r="C82" s="20" t="str">
        <f aca="false">IF('Golden Dataset'!A43="","",'Golden Dataset'!G43)</f>
        <v/>
      </c>
      <c r="D82" s="20" t="str">
        <f aca="false">IF('Golden Dataset'!P43="","",'Golden Dataset'!P43)</f>
        <v/>
      </c>
      <c r="E82" s="20" t="str">
        <f aca="false">IF('Golden Dataset'!Q43="","",'Golden Dataset'!Q43)</f>
        <v/>
      </c>
      <c r="F82" s="20" t="str">
        <f aca="false">IF('Golden Dataset'!R43="","",'Golden Dataset'!R43)</f>
        <v/>
      </c>
      <c r="G82" s="20" t="str">
        <f aca="false">IF('Golden Dataset'!S43="","",'Golden Dataset'!S43)</f>
        <v/>
      </c>
    </row>
    <row r="83" customFormat="false" ht="15" hidden="false" customHeight="true" outlineLevel="0" collapsed="false">
      <c r="A83" s="20" t="str">
        <f aca="false">IF('Golden Dataset'!A44="","",'Golden Dataset'!A44)</f>
        <v/>
      </c>
      <c r="B83" s="20" t="str">
        <f aca="false">IF('Golden Dataset'!A44="","",'Golden Dataset'!F44)</f>
        <v/>
      </c>
      <c r="C83" s="20" t="str">
        <f aca="false">IF('Golden Dataset'!A44="","",'Golden Dataset'!G44)</f>
        <v/>
      </c>
      <c r="D83" s="20" t="str">
        <f aca="false">IF('Golden Dataset'!P44="","",'Golden Dataset'!P44)</f>
        <v/>
      </c>
      <c r="E83" s="20" t="str">
        <f aca="false">IF('Golden Dataset'!Q44="","",'Golden Dataset'!Q44)</f>
        <v/>
      </c>
      <c r="F83" s="20" t="str">
        <f aca="false">IF('Golden Dataset'!R44="","",'Golden Dataset'!R44)</f>
        <v/>
      </c>
      <c r="G83" s="20" t="str">
        <f aca="false">IF('Golden Dataset'!S44="","",'Golden Dataset'!S44)</f>
        <v/>
      </c>
    </row>
    <row r="84" customFormat="false" ht="15" hidden="false" customHeight="true" outlineLevel="0" collapsed="false">
      <c r="A84" s="20" t="str">
        <f aca="false">IF('Golden Dataset'!A45="","",'Golden Dataset'!A45)</f>
        <v/>
      </c>
      <c r="B84" s="20" t="str">
        <f aca="false">IF('Golden Dataset'!A45="","",'Golden Dataset'!F45)</f>
        <v/>
      </c>
      <c r="C84" s="20" t="str">
        <f aca="false">IF('Golden Dataset'!A45="","",'Golden Dataset'!G45)</f>
        <v/>
      </c>
      <c r="D84" s="20" t="str">
        <f aca="false">IF('Golden Dataset'!P45="","",'Golden Dataset'!P45)</f>
        <v/>
      </c>
      <c r="E84" s="20" t="str">
        <f aca="false">IF('Golden Dataset'!Q45="","",'Golden Dataset'!Q45)</f>
        <v/>
      </c>
      <c r="F84" s="20" t="str">
        <f aca="false">IF('Golden Dataset'!R45="","",'Golden Dataset'!R45)</f>
        <v/>
      </c>
      <c r="G84" s="20" t="str">
        <f aca="false">IF('Golden Dataset'!S45="","",'Golden Dataset'!S45)</f>
        <v/>
      </c>
    </row>
    <row r="85" customFormat="false" ht="15" hidden="false" customHeight="true" outlineLevel="0" collapsed="false">
      <c r="A85" s="20" t="str">
        <f aca="false">IF('Golden Dataset'!A46="","",'Golden Dataset'!A46)</f>
        <v/>
      </c>
      <c r="B85" s="20" t="str">
        <f aca="false">IF('Golden Dataset'!A46="","",'Golden Dataset'!F46)</f>
        <v/>
      </c>
      <c r="C85" s="20" t="str">
        <f aca="false">IF('Golden Dataset'!A46="","",'Golden Dataset'!G46)</f>
        <v/>
      </c>
      <c r="D85" s="20" t="str">
        <f aca="false">IF('Golden Dataset'!P46="","",'Golden Dataset'!P46)</f>
        <v/>
      </c>
      <c r="E85" s="20" t="str">
        <f aca="false">IF('Golden Dataset'!Q46="","",'Golden Dataset'!Q46)</f>
        <v/>
      </c>
      <c r="F85" s="20" t="str">
        <f aca="false">IF('Golden Dataset'!R46="","",'Golden Dataset'!R46)</f>
        <v/>
      </c>
      <c r="G85" s="20" t="str">
        <f aca="false">IF('Golden Dataset'!S46="","",'Golden Dataset'!S46)</f>
        <v/>
      </c>
    </row>
    <row r="86" customFormat="false" ht="15" hidden="false" customHeight="true" outlineLevel="0" collapsed="false">
      <c r="A86" s="20" t="str">
        <f aca="false">IF('Golden Dataset'!A47="","",'Golden Dataset'!A47)</f>
        <v/>
      </c>
      <c r="B86" s="20" t="str">
        <f aca="false">IF('Golden Dataset'!A47="","",'Golden Dataset'!F47)</f>
        <v/>
      </c>
      <c r="C86" s="20" t="str">
        <f aca="false">IF('Golden Dataset'!A47="","",'Golden Dataset'!G47)</f>
        <v/>
      </c>
      <c r="D86" s="20" t="str">
        <f aca="false">IF('Golden Dataset'!P47="","",'Golden Dataset'!P47)</f>
        <v/>
      </c>
      <c r="E86" s="20" t="str">
        <f aca="false">IF('Golden Dataset'!Q47="","",'Golden Dataset'!Q47)</f>
        <v/>
      </c>
      <c r="F86" s="20" t="str">
        <f aca="false">IF('Golden Dataset'!R47="","",'Golden Dataset'!R47)</f>
        <v/>
      </c>
      <c r="G86" s="20" t="str">
        <f aca="false">IF('Golden Dataset'!S47="","",'Golden Dataset'!S47)</f>
        <v/>
      </c>
    </row>
    <row r="87" customFormat="false" ht="15" hidden="false" customHeight="true" outlineLevel="0" collapsed="false">
      <c r="A87" s="20" t="str">
        <f aca="false">IF('Golden Dataset'!A48="","",'Golden Dataset'!A48)</f>
        <v/>
      </c>
      <c r="B87" s="20" t="str">
        <f aca="false">IF('Golden Dataset'!A48="","",'Golden Dataset'!F48)</f>
        <v/>
      </c>
      <c r="C87" s="20" t="str">
        <f aca="false">IF('Golden Dataset'!A48="","",'Golden Dataset'!G48)</f>
        <v/>
      </c>
      <c r="D87" s="20" t="str">
        <f aca="false">IF('Golden Dataset'!P48="","",'Golden Dataset'!P48)</f>
        <v/>
      </c>
      <c r="E87" s="20" t="str">
        <f aca="false">IF('Golden Dataset'!Q48="","",'Golden Dataset'!Q48)</f>
        <v/>
      </c>
      <c r="F87" s="20" t="str">
        <f aca="false">IF('Golden Dataset'!R48="","",'Golden Dataset'!R48)</f>
        <v/>
      </c>
      <c r="G87" s="20" t="str">
        <f aca="false">IF('Golden Dataset'!S48="","",'Golden Dataset'!S48)</f>
        <v/>
      </c>
    </row>
    <row r="88" customFormat="false" ht="15" hidden="false" customHeight="true" outlineLevel="0" collapsed="false">
      <c r="A88" s="20" t="str">
        <f aca="false">IF('Golden Dataset'!A49="","",'Golden Dataset'!A49)</f>
        <v/>
      </c>
      <c r="B88" s="20" t="str">
        <f aca="false">IF('Golden Dataset'!A49="","",'Golden Dataset'!F49)</f>
        <v/>
      </c>
      <c r="C88" s="20" t="str">
        <f aca="false">IF('Golden Dataset'!A49="","",'Golden Dataset'!G49)</f>
        <v/>
      </c>
      <c r="D88" s="20" t="str">
        <f aca="false">IF('Golden Dataset'!P49="","",'Golden Dataset'!P49)</f>
        <v/>
      </c>
      <c r="E88" s="20" t="str">
        <f aca="false">IF('Golden Dataset'!Q49="","",'Golden Dataset'!Q49)</f>
        <v/>
      </c>
      <c r="F88" s="20" t="str">
        <f aca="false">IF('Golden Dataset'!R49="","",'Golden Dataset'!R49)</f>
        <v/>
      </c>
      <c r="G88" s="20" t="str">
        <f aca="false">IF('Golden Dataset'!S49="","",'Golden Dataset'!S49)</f>
        <v/>
      </c>
    </row>
    <row r="89" customFormat="false" ht="15" hidden="false" customHeight="true" outlineLevel="0" collapsed="false">
      <c r="A89" s="20" t="str">
        <f aca="false">IF('Golden Dataset'!A50="","",'Golden Dataset'!A50)</f>
        <v/>
      </c>
      <c r="B89" s="20" t="str">
        <f aca="false">IF('Golden Dataset'!A50="","",'Golden Dataset'!F50)</f>
        <v/>
      </c>
      <c r="C89" s="20" t="str">
        <f aca="false">IF('Golden Dataset'!A50="","",'Golden Dataset'!G50)</f>
        <v/>
      </c>
      <c r="D89" s="20" t="str">
        <f aca="false">IF('Golden Dataset'!P50="","",'Golden Dataset'!P50)</f>
        <v/>
      </c>
      <c r="E89" s="20" t="str">
        <f aca="false">IF('Golden Dataset'!Q50="","",'Golden Dataset'!Q50)</f>
        <v/>
      </c>
      <c r="F89" s="20" t="str">
        <f aca="false">IF('Golden Dataset'!R50="","",'Golden Dataset'!R50)</f>
        <v/>
      </c>
      <c r="G89" s="20" t="str">
        <f aca="false">IF('Golden Dataset'!S50="","",'Golden Dataset'!S50)</f>
        <v/>
      </c>
    </row>
    <row r="90" customFormat="false" ht="15" hidden="false" customHeight="true" outlineLevel="0" collapsed="false">
      <c r="A90" s="20" t="str">
        <f aca="false">IF('Golden Dataset'!A51="","",'Golden Dataset'!A51)</f>
        <v/>
      </c>
      <c r="B90" s="20" t="str">
        <f aca="false">IF('Golden Dataset'!A51="","",'Golden Dataset'!F51)</f>
        <v/>
      </c>
      <c r="C90" s="20" t="str">
        <f aca="false">IF('Golden Dataset'!A51="","",'Golden Dataset'!G51)</f>
        <v/>
      </c>
      <c r="D90" s="20" t="str">
        <f aca="false">IF('Golden Dataset'!P51="","",'Golden Dataset'!P51)</f>
        <v/>
      </c>
      <c r="E90" s="20" t="str">
        <f aca="false">IF('Golden Dataset'!Q51="","",'Golden Dataset'!Q51)</f>
        <v/>
      </c>
      <c r="F90" s="20" t="str">
        <f aca="false">IF('Golden Dataset'!R51="","",'Golden Dataset'!R51)</f>
        <v/>
      </c>
      <c r="G90" s="20" t="str">
        <f aca="false">IF('Golden Dataset'!S51="","",'Golden Dataset'!S51)</f>
        <v/>
      </c>
    </row>
    <row r="91" customFormat="false" ht="15" hidden="false" customHeight="true" outlineLevel="0" collapsed="false">
      <c r="A91" s="20" t="str">
        <f aca="false">IF('Golden Dataset'!A52="","",'Golden Dataset'!A52)</f>
        <v/>
      </c>
      <c r="B91" s="20" t="str">
        <f aca="false">IF('Golden Dataset'!A52="","",'Golden Dataset'!F52)</f>
        <v/>
      </c>
      <c r="C91" s="20" t="str">
        <f aca="false">IF('Golden Dataset'!A52="","",'Golden Dataset'!G52)</f>
        <v/>
      </c>
      <c r="D91" s="20" t="str">
        <f aca="false">IF('Golden Dataset'!P52="","",'Golden Dataset'!P52)</f>
        <v/>
      </c>
      <c r="E91" s="20" t="str">
        <f aca="false">IF('Golden Dataset'!Q52="","",'Golden Dataset'!Q52)</f>
        <v/>
      </c>
      <c r="F91" s="20" t="str">
        <f aca="false">IF('Golden Dataset'!R52="","",'Golden Dataset'!R52)</f>
        <v/>
      </c>
      <c r="G91" s="20" t="str">
        <f aca="false">IF('Golden Dataset'!S52="","",'Golden Dataset'!S52)</f>
        <v/>
      </c>
    </row>
    <row r="92" customFormat="false" ht="15" hidden="false" customHeight="true" outlineLevel="0" collapsed="false">
      <c r="A92" s="20" t="str">
        <f aca="false">IF('Golden Dataset'!A53="","",'Golden Dataset'!A53)</f>
        <v/>
      </c>
      <c r="B92" s="20" t="str">
        <f aca="false">IF('Golden Dataset'!A53="","",'Golden Dataset'!F53)</f>
        <v/>
      </c>
      <c r="C92" s="20" t="str">
        <f aca="false">IF('Golden Dataset'!A53="","",'Golden Dataset'!G53)</f>
        <v/>
      </c>
      <c r="D92" s="20" t="str">
        <f aca="false">IF('Golden Dataset'!P53="","",'Golden Dataset'!P53)</f>
        <v/>
      </c>
      <c r="E92" s="20" t="str">
        <f aca="false">IF('Golden Dataset'!Q53="","",'Golden Dataset'!Q53)</f>
        <v/>
      </c>
      <c r="F92" s="20" t="str">
        <f aca="false">IF('Golden Dataset'!R53="","",'Golden Dataset'!R53)</f>
        <v/>
      </c>
      <c r="G92" s="20" t="str">
        <f aca="false">IF('Golden Dataset'!S53="","",'Golden Dataset'!S53)</f>
        <v/>
      </c>
    </row>
    <row r="93" customFormat="false" ht="15" hidden="false" customHeight="true" outlineLevel="0" collapsed="false">
      <c r="A93" s="20" t="str">
        <f aca="false">IF('Golden Dataset'!A54="","",'Golden Dataset'!A54)</f>
        <v/>
      </c>
      <c r="B93" s="20" t="str">
        <f aca="false">IF('Golden Dataset'!A54="","",'Golden Dataset'!F54)</f>
        <v/>
      </c>
      <c r="C93" s="20" t="str">
        <f aca="false">IF('Golden Dataset'!A54="","",'Golden Dataset'!G54)</f>
        <v/>
      </c>
      <c r="D93" s="20" t="str">
        <f aca="false">IF('Golden Dataset'!P54="","",'Golden Dataset'!P54)</f>
        <v/>
      </c>
      <c r="E93" s="20" t="str">
        <f aca="false">IF('Golden Dataset'!Q54="","",'Golden Dataset'!Q54)</f>
        <v/>
      </c>
      <c r="F93" s="20" t="str">
        <f aca="false">IF('Golden Dataset'!R54="","",'Golden Dataset'!R54)</f>
        <v/>
      </c>
      <c r="G93" s="20" t="str">
        <f aca="false">IF('Golden Dataset'!S54="","",'Golden Dataset'!S54)</f>
        <v/>
      </c>
    </row>
    <row r="94" customFormat="false" ht="15" hidden="false" customHeight="true" outlineLevel="0" collapsed="false">
      <c r="A94" s="20" t="str">
        <f aca="false">IF('Golden Dataset'!A55="","",'Golden Dataset'!A55)</f>
        <v/>
      </c>
      <c r="B94" s="20" t="str">
        <f aca="false">IF('Golden Dataset'!A55="","",'Golden Dataset'!F55)</f>
        <v/>
      </c>
      <c r="C94" s="20" t="str">
        <f aca="false">IF('Golden Dataset'!A55="","",'Golden Dataset'!G55)</f>
        <v/>
      </c>
      <c r="D94" s="20" t="str">
        <f aca="false">IF('Golden Dataset'!P55="","",'Golden Dataset'!P55)</f>
        <v/>
      </c>
      <c r="E94" s="20" t="str">
        <f aca="false">IF('Golden Dataset'!Q55="","",'Golden Dataset'!Q55)</f>
        <v/>
      </c>
      <c r="F94" s="20" t="str">
        <f aca="false">IF('Golden Dataset'!R55="","",'Golden Dataset'!R55)</f>
        <v/>
      </c>
      <c r="G94" s="20" t="str">
        <f aca="false">IF('Golden Dataset'!S55="","",'Golden Dataset'!S55)</f>
        <v/>
      </c>
    </row>
    <row r="95" customFormat="false" ht="15" hidden="false" customHeight="true" outlineLevel="0" collapsed="false">
      <c r="A95" s="20" t="str">
        <f aca="false">IF('Golden Dataset'!A56="","",'Golden Dataset'!A56)</f>
        <v/>
      </c>
      <c r="B95" s="20" t="str">
        <f aca="false">IF('Golden Dataset'!A56="","",'Golden Dataset'!F56)</f>
        <v/>
      </c>
      <c r="C95" s="20" t="str">
        <f aca="false">IF('Golden Dataset'!A56="","",'Golden Dataset'!G56)</f>
        <v/>
      </c>
      <c r="D95" s="20" t="str">
        <f aca="false">IF('Golden Dataset'!P56="","",'Golden Dataset'!P56)</f>
        <v/>
      </c>
      <c r="E95" s="20" t="str">
        <f aca="false">IF('Golden Dataset'!Q56="","",'Golden Dataset'!Q56)</f>
        <v/>
      </c>
      <c r="F95" s="20" t="str">
        <f aca="false">IF('Golden Dataset'!R56="","",'Golden Dataset'!R56)</f>
        <v/>
      </c>
      <c r="G95" s="20" t="str">
        <f aca="false">IF('Golden Dataset'!S56="","",'Golden Dataset'!S56)</f>
        <v/>
      </c>
    </row>
    <row r="96" customFormat="false" ht="15" hidden="false" customHeight="true" outlineLevel="0" collapsed="false">
      <c r="A96" s="20" t="str">
        <f aca="false">IF('Golden Dataset'!A57="","",'Golden Dataset'!A57)</f>
        <v/>
      </c>
      <c r="B96" s="20" t="str">
        <f aca="false">IF('Golden Dataset'!A57="","",'Golden Dataset'!F57)</f>
        <v/>
      </c>
      <c r="C96" s="20" t="str">
        <f aca="false">IF('Golden Dataset'!A57="","",'Golden Dataset'!G57)</f>
        <v/>
      </c>
      <c r="D96" s="20" t="str">
        <f aca="false">IF('Golden Dataset'!P57="","",'Golden Dataset'!P57)</f>
        <v/>
      </c>
      <c r="E96" s="20" t="str">
        <f aca="false">IF('Golden Dataset'!Q57="","",'Golden Dataset'!Q57)</f>
        <v/>
      </c>
      <c r="F96" s="20" t="str">
        <f aca="false">IF('Golden Dataset'!R57="","",'Golden Dataset'!R57)</f>
        <v/>
      </c>
      <c r="G96" s="20" t="str">
        <f aca="false">IF('Golden Dataset'!S57="","",'Golden Dataset'!S57)</f>
        <v/>
      </c>
    </row>
    <row r="97" customFormat="false" ht="15" hidden="false" customHeight="true" outlineLevel="0" collapsed="false">
      <c r="A97" s="20" t="str">
        <f aca="false">IF('Golden Dataset'!A58="","",'Golden Dataset'!A58)</f>
        <v/>
      </c>
      <c r="B97" s="20" t="str">
        <f aca="false">IF('Golden Dataset'!A58="","",'Golden Dataset'!F58)</f>
        <v/>
      </c>
      <c r="C97" s="20" t="str">
        <f aca="false">IF('Golden Dataset'!A58="","",'Golden Dataset'!G58)</f>
        <v/>
      </c>
      <c r="D97" s="20" t="str">
        <f aca="false">IF('Golden Dataset'!P58="","",'Golden Dataset'!P58)</f>
        <v/>
      </c>
      <c r="E97" s="20" t="str">
        <f aca="false">IF('Golden Dataset'!Q58="","",'Golden Dataset'!Q58)</f>
        <v/>
      </c>
      <c r="F97" s="20" t="str">
        <f aca="false">IF('Golden Dataset'!R58="","",'Golden Dataset'!R58)</f>
        <v/>
      </c>
      <c r="G97" s="20" t="str">
        <f aca="false">IF('Golden Dataset'!S58="","",'Golden Dataset'!S58)</f>
        <v/>
      </c>
    </row>
    <row r="98" customFormat="false" ht="15" hidden="false" customHeight="true" outlineLevel="0" collapsed="false">
      <c r="A98" s="20" t="str">
        <f aca="false">IF('Golden Dataset'!A59="","",'Golden Dataset'!A59)</f>
        <v/>
      </c>
      <c r="B98" s="20" t="str">
        <f aca="false">IF('Golden Dataset'!A59="","",'Golden Dataset'!F59)</f>
        <v/>
      </c>
      <c r="C98" s="20" t="str">
        <f aca="false">IF('Golden Dataset'!A59="","",'Golden Dataset'!G59)</f>
        <v/>
      </c>
      <c r="D98" s="20" t="str">
        <f aca="false">IF('Golden Dataset'!P59="","",'Golden Dataset'!P59)</f>
        <v/>
      </c>
      <c r="E98" s="20" t="str">
        <f aca="false">IF('Golden Dataset'!Q59="","",'Golden Dataset'!Q59)</f>
        <v/>
      </c>
      <c r="F98" s="20" t="str">
        <f aca="false">IF('Golden Dataset'!R59="","",'Golden Dataset'!R59)</f>
        <v/>
      </c>
      <c r="G98" s="20" t="str">
        <f aca="false">IF('Golden Dataset'!S59="","",'Golden Dataset'!S59)</f>
        <v/>
      </c>
    </row>
    <row r="99" customFormat="false" ht="15" hidden="false" customHeight="true" outlineLevel="0" collapsed="false">
      <c r="A99" s="20" t="str">
        <f aca="false">IF('Golden Dataset'!A60="","",'Golden Dataset'!A60)</f>
        <v/>
      </c>
      <c r="B99" s="20" t="str">
        <f aca="false">IF('Golden Dataset'!A60="","",'Golden Dataset'!F60)</f>
        <v/>
      </c>
      <c r="C99" s="20" t="str">
        <f aca="false">IF('Golden Dataset'!A60="","",'Golden Dataset'!G60)</f>
        <v/>
      </c>
      <c r="D99" s="20" t="str">
        <f aca="false">IF('Golden Dataset'!P60="","",'Golden Dataset'!P60)</f>
        <v/>
      </c>
      <c r="E99" s="20" t="str">
        <f aca="false">IF('Golden Dataset'!Q60="","",'Golden Dataset'!Q60)</f>
        <v/>
      </c>
      <c r="F99" s="20" t="str">
        <f aca="false">IF('Golden Dataset'!R60="","",'Golden Dataset'!R60)</f>
        <v/>
      </c>
      <c r="G99" s="20" t="str">
        <f aca="false">IF('Golden Dataset'!S60="","",'Golden Dataset'!S60)</f>
        <v/>
      </c>
    </row>
    <row r="100" customFormat="false" ht="15" hidden="false" customHeight="true" outlineLevel="0" collapsed="false">
      <c r="A100" s="20" t="str">
        <f aca="false">IF('Golden Dataset'!A61="","",'Golden Dataset'!A61)</f>
        <v/>
      </c>
      <c r="B100" s="20" t="str">
        <f aca="false">IF('Golden Dataset'!A61="","",'Golden Dataset'!F61)</f>
        <v/>
      </c>
      <c r="C100" s="20" t="str">
        <f aca="false">IF('Golden Dataset'!A61="","",'Golden Dataset'!G61)</f>
        <v/>
      </c>
      <c r="D100" s="20" t="str">
        <f aca="false">IF('Golden Dataset'!P61="","",'Golden Dataset'!P61)</f>
        <v/>
      </c>
      <c r="E100" s="20" t="str">
        <f aca="false">IF('Golden Dataset'!Q61="","",'Golden Dataset'!Q61)</f>
        <v/>
      </c>
      <c r="F100" s="20" t="str">
        <f aca="false">IF('Golden Dataset'!R61="","",'Golden Dataset'!R61)</f>
        <v/>
      </c>
      <c r="G100" s="20" t="str">
        <f aca="false">IF('Golden Dataset'!S61="","",'Golden Dataset'!S61)</f>
        <v/>
      </c>
    </row>
    <row r="101" customFormat="false" ht="15" hidden="false" customHeight="true" outlineLevel="0" collapsed="false">
      <c r="A101" s="20" t="str">
        <f aca="false">IF('Golden Dataset'!A62="","",'Golden Dataset'!A62)</f>
        <v/>
      </c>
      <c r="B101" s="20" t="str">
        <f aca="false">IF('Golden Dataset'!A62="","",'Golden Dataset'!F62)</f>
        <v/>
      </c>
      <c r="C101" s="20" t="str">
        <f aca="false">IF('Golden Dataset'!A62="","",'Golden Dataset'!G62)</f>
        <v/>
      </c>
      <c r="D101" s="20" t="str">
        <f aca="false">IF('Golden Dataset'!P62="","",'Golden Dataset'!P62)</f>
        <v/>
      </c>
      <c r="E101" s="20" t="str">
        <f aca="false">IF('Golden Dataset'!Q62="","",'Golden Dataset'!Q62)</f>
        <v/>
      </c>
      <c r="F101" s="20" t="str">
        <f aca="false">IF('Golden Dataset'!R62="","",'Golden Dataset'!R62)</f>
        <v/>
      </c>
      <c r="G101" s="20" t="str">
        <f aca="false">IF('Golden Dataset'!S62="","",'Golden Dataset'!S62)</f>
        <v/>
      </c>
    </row>
    <row r="102" customFormat="false" ht="15" hidden="false" customHeight="true" outlineLevel="0" collapsed="false">
      <c r="A102" s="20" t="str">
        <f aca="false">IF('Golden Dataset'!A63="","",'Golden Dataset'!A63)</f>
        <v/>
      </c>
      <c r="B102" s="20" t="str">
        <f aca="false">IF('Golden Dataset'!A63="","",'Golden Dataset'!F63)</f>
        <v/>
      </c>
      <c r="C102" s="20" t="str">
        <f aca="false">IF('Golden Dataset'!A63="","",'Golden Dataset'!G63)</f>
        <v/>
      </c>
      <c r="D102" s="20" t="str">
        <f aca="false">IF('Golden Dataset'!P63="","",'Golden Dataset'!P63)</f>
        <v/>
      </c>
      <c r="E102" s="20" t="str">
        <f aca="false">IF('Golden Dataset'!Q63="","",'Golden Dataset'!Q63)</f>
        <v/>
      </c>
      <c r="F102" s="20" t="str">
        <f aca="false">IF('Golden Dataset'!R63="","",'Golden Dataset'!R63)</f>
        <v/>
      </c>
      <c r="G102" s="20" t="str">
        <f aca="false">IF('Golden Dataset'!S63="","",'Golden Dataset'!S63)</f>
        <v/>
      </c>
    </row>
    <row r="103" customFormat="false" ht="15" hidden="false" customHeight="true" outlineLevel="0" collapsed="false">
      <c r="A103" s="20" t="str">
        <f aca="false">IF('Golden Dataset'!A64="","",'Golden Dataset'!A64)</f>
        <v/>
      </c>
      <c r="B103" s="20" t="str">
        <f aca="false">IF('Golden Dataset'!A64="","",'Golden Dataset'!F64)</f>
        <v/>
      </c>
      <c r="C103" s="20" t="str">
        <f aca="false">IF('Golden Dataset'!A64="","",'Golden Dataset'!G64)</f>
        <v/>
      </c>
      <c r="D103" s="20" t="str">
        <f aca="false">IF('Golden Dataset'!P64="","",'Golden Dataset'!P64)</f>
        <v/>
      </c>
      <c r="E103" s="20" t="str">
        <f aca="false">IF('Golden Dataset'!Q64="","",'Golden Dataset'!Q64)</f>
        <v/>
      </c>
      <c r="F103" s="20" t="str">
        <f aca="false">IF('Golden Dataset'!R64="","",'Golden Dataset'!R64)</f>
        <v/>
      </c>
      <c r="G103" s="20" t="str">
        <f aca="false">IF('Golden Dataset'!S64="","",'Golden Dataset'!S64)</f>
        <v/>
      </c>
    </row>
    <row r="104" customFormat="false" ht="15" hidden="false" customHeight="true" outlineLevel="0" collapsed="false">
      <c r="A104" s="20" t="str">
        <f aca="false">IF('Golden Dataset'!A65="","",'Golden Dataset'!A65)</f>
        <v/>
      </c>
      <c r="B104" s="20" t="str">
        <f aca="false">IF('Golden Dataset'!A65="","",'Golden Dataset'!F65)</f>
        <v/>
      </c>
      <c r="C104" s="20" t="str">
        <f aca="false">IF('Golden Dataset'!A65="","",'Golden Dataset'!G65)</f>
        <v/>
      </c>
      <c r="D104" s="20" t="str">
        <f aca="false">IF('Golden Dataset'!P65="","",'Golden Dataset'!P65)</f>
        <v/>
      </c>
      <c r="E104" s="20" t="str">
        <f aca="false">IF('Golden Dataset'!Q65="","",'Golden Dataset'!Q65)</f>
        <v/>
      </c>
      <c r="F104" s="20" t="str">
        <f aca="false">IF('Golden Dataset'!R65="","",'Golden Dataset'!R65)</f>
        <v/>
      </c>
      <c r="G104" s="20" t="str">
        <f aca="false">IF('Golden Dataset'!S65="","",'Golden Dataset'!S65)</f>
        <v/>
      </c>
    </row>
    <row r="105" customFormat="false" ht="15" hidden="false" customHeight="true" outlineLevel="0" collapsed="false">
      <c r="A105" s="20" t="str">
        <f aca="false">IF('Golden Dataset'!A66="","",'Golden Dataset'!A66)</f>
        <v/>
      </c>
      <c r="B105" s="20" t="str">
        <f aca="false">IF('Golden Dataset'!A66="","",'Golden Dataset'!F66)</f>
        <v/>
      </c>
      <c r="C105" s="20" t="str">
        <f aca="false">IF('Golden Dataset'!A66="","",'Golden Dataset'!G66)</f>
        <v/>
      </c>
      <c r="D105" s="20" t="str">
        <f aca="false">IF('Golden Dataset'!P66="","",'Golden Dataset'!P66)</f>
        <v/>
      </c>
      <c r="E105" s="20" t="str">
        <f aca="false">IF('Golden Dataset'!Q66="","",'Golden Dataset'!Q66)</f>
        <v/>
      </c>
      <c r="F105" s="20" t="str">
        <f aca="false">IF('Golden Dataset'!R66="","",'Golden Dataset'!R66)</f>
        <v/>
      </c>
      <c r="G105" s="20" t="str">
        <f aca="false">IF('Golden Dataset'!S66="","",'Golden Dataset'!S66)</f>
        <v/>
      </c>
    </row>
    <row r="106" customFormat="false" ht="15" hidden="false" customHeight="true" outlineLevel="0" collapsed="false">
      <c r="A106" s="20" t="str">
        <f aca="false">IF('Golden Dataset'!A67="","",'Golden Dataset'!A67)</f>
        <v/>
      </c>
      <c r="B106" s="20" t="str">
        <f aca="false">IF('Golden Dataset'!A67="","",'Golden Dataset'!F67)</f>
        <v/>
      </c>
      <c r="C106" s="20" t="str">
        <f aca="false">IF('Golden Dataset'!A67="","",'Golden Dataset'!G67)</f>
        <v/>
      </c>
      <c r="D106" s="20" t="str">
        <f aca="false">IF('Golden Dataset'!P67="","",'Golden Dataset'!P67)</f>
        <v/>
      </c>
      <c r="E106" s="20" t="str">
        <f aca="false">IF('Golden Dataset'!Q67="","",'Golden Dataset'!Q67)</f>
        <v/>
      </c>
      <c r="F106" s="20" t="str">
        <f aca="false">IF('Golden Dataset'!R67="","",'Golden Dataset'!R67)</f>
        <v/>
      </c>
      <c r="G106" s="20" t="str">
        <f aca="false">IF('Golden Dataset'!S67="","",'Golden Dataset'!S67)</f>
        <v/>
      </c>
    </row>
    <row r="107" customFormat="false" ht="15" hidden="false" customHeight="true" outlineLevel="0" collapsed="false">
      <c r="A107" s="20" t="str">
        <f aca="false">IF('Golden Dataset'!A68="","",'Golden Dataset'!A68)</f>
        <v/>
      </c>
      <c r="B107" s="20" t="str">
        <f aca="false">IF('Golden Dataset'!A68="","",'Golden Dataset'!F68)</f>
        <v/>
      </c>
      <c r="C107" s="20" t="str">
        <f aca="false">IF('Golden Dataset'!A68="","",'Golden Dataset'!G68)</f>
        <v/>
      </c>
      <c r="D107" s="20" t="str">
        <f aca="false">IF('Golden Dataset'!P68="","",'Golden Dataset'!P68)</f>
        <v/>
      </c>
      <c r="E107" s="20" t="str">
        <f aca="false">IF('Golden Dataset'!Q68="","",'Golden Dataset'!Q68)</f>
        <v/>
      </c>
      <c r="F107" s="20" t="str">
        <f aca="false">IF('Golden Dataset'!R68="","",'Golden Dataset'!R68)</f>
        <v/>
      </c>
      <c r="G107" s="20" t="str">
        <f aca="false">IF('Golden Dataset'!S68="","",'Golden Dataset'!S68)</f>
        <v/>
      </c>
    </row>
    <row r="108" customFormat="false" ht="15" hidden="false" customHeight="true" outlineLevel="0" collapsed="false">
      <c r="A108" s="20" t="str">
        <f aca="false">IF('Golden Dataset'!A69="","",'Golden Dataset'!A69)</f>
        <v/>
      </c>
      <c r="B108" s="20" t="str">
        <f aca="false">IF('Golden Dataset'!A69="","",'Golden Dataset'!F69)</f>
        <v/>
      </c>
      <c r="C108" s="20" t="str">
        <f aca="false">IF('Golden Dataset'!A69="","",'Golden Dataset'!G69)</f>
        <v/>
      </c>
      <c r="D108" s="20" t="str">
        <f aca="false">IF('Golden Dataset'!P69="","",'Golden Dataset'!P69)</f>
        <v/>
      </c>
      <c r="E108" s="20" t="str">
        <f aca="false">IF('Golden Dataset'!Q69="","",'Golden Dataset'!Q69)</f>
        <v/>
      </c>
      <c r="F108" s="20" t="str">
        <f aca="false">IF('Golden Dataset'!R69="","",'Golden Dataset'!R69)</f>
        <v/>
      </c>
      <c r="G108" s="20" t="str">
        <f aca="false">IF('Golden Dataset'!S69="","",'Golden Dataset'!S69)</f>
        <v/>
      </c>
    </row>
    <row r="109" customFormat="false" ht="15" hidden="false" customHeight="true" outlineLevel="0" collapsed="false">
      <c r="A109" s="20" t="str">
        <f aca="false">IF('Golden Dataset'!A70="","",'Golden Dataset'!A70)</f>
        <v/>
      </c>
      <c r="B109" s="20" t="str">
        <f aca="false">IF('Golden Dataset'!A70="","",'Golden Dataset'!F70)</f>
        <v/>
      </c>
      <c r="C109" s="20" t="str">
        <f aca="false">IF('Golden Dataset'!A70="","",'Golden Dataset'!G70)</f>
        <v/>
      </c>
      <c r="D109" s="20" t="str">
        <f aca="false">IF('Golden Dataset'!P70="","",'Golden Dataset'!P70)</f>
        <v/>
      </c>
      <c r="E109" s="20" t="str">
        <f aca="false">IF('Golden Dataset'!Q70="","",'Golden Dataset'!Q70)</f>
        <v/>
      </c>
      <c r="F109" s="20" t="str">
        <f aca="false">IF('Golden Dataset'!R70="","",'Golden Dataset'!R70)</f>
        <v/>
      </c>
      <c r="G109" s="20" t="str">
        <f aca="false">IF('Golden Dataset'!S70="","",'Golden Dataset'!S70)</f>
        <v/>
      </c>
    </row>
    <row r="110" customFormat="false" ht="15" hidden="false" customHeight="true" outlineLevel="0" collapsed="false">
      <c r="A110" s="20" t="str">
        <f aca="false">IF('Golden Dataset'!A71="","",'Golden Dataset'!A71)</f>
        <v/>
      </c>
      <c r="B110" s="20" t="str">
        <f aca="false">IF('Golden Dataset'!A71="","",'Golden Dataset'!F71)</f>
        <v/>
      </c>
      <c r="C110" s="20" t="str">
        <f aca="false">IF('Golden Dataset'!A71="","",'Golden Dataset'!G71)</f>
        <v/>
      </c>
      <c r="D110" s="20" t="str">
        <f aca="false">IF('Golden Dataset'!P71="","",'Golden Dataset'!P71)</f>
        <v/>
      </c>
      <c r="E110" s="20" t="str">
        <f aca="false">IF('Golden Dataset'!Q71="","",'Golden Dataset'!Q71)</f>
        <v/>
      </c>
      <c r="F110" s="20" t="str">
        <f aca="false">IF('Golden Dataset'!R71="","",'Golden Dataset'!R71)</f>
        <v/>
      </c>
      <c r="G110" s="20" t="str">
        <f aca="false">IF('Golden Dataset'!S71="","",'Golden Dataset'!S71)</f>
        <v/>
      </c>
    </row>
    <row r="111" customFormat="false" ht="15" hidden="false" customHeight="true" outlineLevel="0" collapsed="false">
      <c r="A111" s="20" t="str">
        <f aca="false">IF('Golden Dataset'!A72="","",'Golden Dataset'!A72)</f>
        <v/>
      </c>
      <c r="B111" s="20" t="str">
        <f aca="false">IF('Golden Dataset'!A72="","",'Golden Dataset'!F72)</f>
        <v/>
      </c>
      <c r="C111" s="20" t="str">
        <f aca="false">IF('Golden Dataset'!A72="","",'Golden Dataset'!G72)</f>
        <v/>
      </c>
      <c r="D111" s="20" t="str">
        <f aca="false">IF('Golden Dataset'!P72="","",'Golden Dataset'!P72)</f>
        <v/>
      </c>
      <c r="E111" s="20" t="str">
        <f aca="false">IF('Golden Dataset'!Q72="","",'Golden Dataset'!Q72)</f>
        <v/>
      </c>
      <c r="F111" s="20" t="str">
        <f aca="false">IF('Golden Dataset'!R72="","",'Golden Dataset'!R72)</f>
        <v/>
      </c>
      <c r="G111" s="20" t="str">
        <f aca="false">IF('Golden Dataset'!S72="","",'Golden Dataset'!S72)</f>
        <v/>
      </c>
    </row>
    <row r="112" customFormat="false" ht="15" hidden="false" customHeight="true" outlineLevel="0" collapsed="false">
      <c r="A112" s="20" t="str">
        <f aca="false">IF('Golden Dataset'!A73="","",'Golden Dataset'!A73)</f>
        <v/>
      </c>
      <c r="B112" s="20" t="str">
        <f aca="false">IF('Golden Dataset'!A73="","",'Golden Dataset'!F73)</f>
        <v/>
      </c>
      <c r="C112" s="20" t="str">
        <f aca="false">IF('Golden Dataset'!A73="","",'Golden Dataset'!G73)</f>
        <v/>
      </c>
      <c r="D112" s="20" t="str">
        <f aca="false">IF('Golden Dataset'!P73="","",'Golden Dataset'!P73)</f>
        <v/>
      </c>
      <c r="E112" s="20" t="str">
        <f aca="false">IF('Golden Dataset'!Q73="","",'Golden Dataset'!Q73)</f>
        <v/>
      </c>
      <c r="F112" s="20" t="str">
        <f aca="false">IF('Golden Dataset'!R73="","",'Golden Dataset'!R73)</f>
        <v/>
      </c>
      <c r="G112" s="20" t="str">
        <f aca="false">IF('Golden Dataset'!S73="","",'Golden Dataset'!S73)</f>
        <v/>
      </c>
    </row>
    <row r="113" customFormat="false" ht="15" hidden="false" customHeight="true" outlineLevel="0" collapsed="false">
      <c r="A113" s="20" t="str">
        <f aca="false">IF('Golden Dataset'!A74="","",'Golden Dataset'!A74)</f>
        <v/>
      </c>
      <c r="B113" s="20" t="str">
        <f aca="false">IF('Golden Dataset'!A74="","",'Golden Dataset'!F74)</f>
        <v/>
      </c>
      <c r="C113" s="20" t="str">
        <f aca="false">IF('Golden Dataset'!A74="","",'Golden Dataset'!G74)</f>
        <v/>
      </c>
      <c r="D113" s="20" t="str">
        <f aca="false">IF('Golden Dataset'!P74="","",'Golden Dataset'!P74)</f>
        <v/>
      </c>
      <c r="E113" s="20" t="str">
        <f aca="false">IF('Golden Dataset'!Q74="","",'Golden Dataset'!Q74)</f>
        <v/>
      </c>
      <c r="F113" s="20" t="str">
        <f aca="false">IF('Golden Dataset'!R74="","",'Golden Dataset'!R74)</f>
        <v/>
      </c>
      <c r="G113" s="20" t="str">
        <f aca="false">IF('Golden Dataset'!S74="","",'Golden Dataset'!S74)</f>
        <v/>
      </c>
    </row>
    <row r="114" customFormat="false" ht="15" hidden="false" customHeight="true" outlineLevel="0" collapsed="false">
      <c r="A114" s="20" t="str">
        <f aca="false">IF('Golden Dataset'!A75="","",'Golden Dataset'!A75)</f>
        <v/>
      </c>
      <c r="B114" s="20" t="str">
        <f aca="false">IF('Golden Dataset'!A75="","",'Golden Dataset'!F75)</f>
        <v/>
      </c>
      <c r="C114" s="20" t="str">
        <f aca="false">IF('Golden Dataset'!A75="","",'Golden Dataset'!G75)</f>
        <v/>
      </c>
      <c r="D114" s="20" t="str">
        <f aca="false">IF('Golden Dataset'!P75="","",'Golden Dataset'!P75)</f>
        <v/>
      </c>
      <c r="E114" s="20" t="str">
        <f aca="false">IF('Golden Dataset'!Q75="","",'Golden Dataset'!Q75)</f>
        <v/>
      </c>
      <c r="F114" s="20" t="str">
        <f aca="false">IF('Golden Dataset'!R75="","",'Golden Dataset'!R75)</f>
        <v/>
      </c>
      <c r="G114" s="20" t="str">
        <f aca="false">IF('Golden Dataset'!S75="","",'Golden Dataset'!S75)</f>
        <v/>
      </c>
    </row>
    <row r="115" customFormat="false" ht="15" hidden="false" customHeight="true" outlineLevel="0" collapsed="false">
      <c r="A115" s="20" t="str">
        <f aca="false">IF('Golden Dataset'!A76="","",'Golden Dataset'!A76)</f>
        <v/>
      </c>
      <c r="B115" s="20" t="str">
        <f aca="false">IF('Golden Dataset'!A76="","",'Golden Dataset'!F76)</f>
        <v/>
      </c>
      <c r="C115" s="20" t="str">
        <f aca="false">IF('Golden Dataset'!A76="","",'Golden Dataset'!G76)</f>
        <v/>
      </c>
      <c r="D115" s="20" t="str">
        <f aca="false">IF('Golden Dataset'!P76="","",'Golden Dataset'!P76)</f>
        <v/>
      </c>
      <c r="E115" s="20" t="str">
        <f aca="false">IF('Golden Dataset'!Q76="","",'Golden Dataset'!Q76)</f>
        <v/>
      </c>
      <c r="F115" s="20" t="str">
        <f aca="false">IF('Golden Dataset'!R76="","",'Golden Dataset'!R76)</f>
        <v/>
      </c>
      <c r="G115" s="20" t="str">
        <f aca="false">IF('Golden Dataset'!S76="","",'Golden Dataset'!S76)</f>
        <v/>
      </c>
    </row>
    <row r="116" customFormat="false" ht="15" hidden="false" customHeight="true" outlineLevel="0" collapsed="false">
      <c r="A116" s="20" t="str">
        <f aca="false">IF('Golden Dataset'!A77="","",'Golden Dataset'!A77)</f>
        <v/>
      </c>
      <c r="B116" s="20" t="str">
        <f aca="false">IF('Golden Dataset'!A77="","",'Golden Dataset'!F77)</f>
        <v/>
      </c>
      <c r="C116" s="20" t="str">
        <f aca="false">IF('Golden Dataset'!A77="","",'Golden Dataset'!G77)</f>
        <v/>
      </c>
      <c r="D116" s="20" t="str">
        <f aca="false">IF('Golden Dataset'!P77="","",'Golden Dataset'!P77)</f>
        <v/>
      </c>
      <c r="E116" s="20" t="str">
        <f aca="false">IF('Golden Dataset'!Q77="","",'Golden Dataset'!Q77)</f>
        <v/>
      </c>
      <c r="F116" s="20" t="str">
        <f aca="false">IF('Golden Dataset'!R77="","",'Golden Dataset'!R77)</f>
        <v/>
      </c>
      <c r="G116" s="20" t="str">
        <f aca="false">IF('Golden Dataset'!S77="","",'Golden Dataset'!S77)</f>
        <v/>
      </c>
    </row>
    <row r="117" customFormat="false" ht="15" hidden="false" customHeight="true" outlineLevel="0" collapsed="false">
      <c r="A117" s="20" t="str">
        <f aca="false">IF('Golden Dataset'!A78="","",'Golden Dataset'!A78)</f>
        <v/>
      </c>
      <c r="B117" s="20" t="str">
        <f aca="false">IF('Golden Dataset'!A78="","",'Golden Dataset'!F78)</f>
        <v/>
      </c>
      <c r="C117" s="20" t="str">
        <f aca="false">IF('Golden Dataset'!A78="","",'Golden Dataset'!G78)</f>
        <v/>
      </c>
      <c r="D117" s="20" t="str">
        <f aca="false">IF('Golden Dataset'!P78="","",'Golden Dataset'!P78)</f>
        <v/>
      </c>
      <c r="E117" s="20" t="str">
        <f aca="false">IF('Golden Dataset'!Q78="","",'Golden Dataset'!Q78)</f>
        <v/>
      </c>
      <c r="F117" s="20" t="str">
        <f aca="false">IF('Golden Dataset'!R78="","",'Golden Dataset'!R78)</f>
        <v/>
      </c>
      <c r="G117" s="20" t="str">
        <f aca="false">IF('Golden Dataset'!S78="","",'Golden Dataset'!S78)</f>
        <v/>
      </c>
    </row>
    <row r="118" customFormat="false" ht="15" hidden="false" customHeight="true" outlineLevel="0" collapsed="false">
      <c r="A118" s="20" t="str">
        <f aca="false">IF('Golden Dataset'!A79="","",'Golden Dataset'!A79)</f>
        <v/>
      </c>
      <c r="B118" s="20" t="str">
        <f aca="false">IF('Golden Dataset'!A79="","",'Golden Dataset'!F79)</f>
        <v/>
      </c>
      <c r="C118" s="20" t="str">
        <f aca="false">IF('Golden Dataset'!A79="","",'Golden Dataset'!G79)</f>
        <v/>
      </c>
      <c r="D118" s="20" t="str">
        <f aca="false">IF('Golden Dataset'!P79="","",'Golden Dataset'!P79)</f>
        <v/>
      </c>
      <c r="E118" s="20" t="str">
        <f aca="false">IF('Golden Dataset'!Q79="","",'Golden Dataset'!Q79)</f>
        <v/>
      </c>
      <c r="F118" s="20" t="str">
        <f aca="false">IF('Golden Dataset'!R79="","",'Golden Dataset'!R79)</f>
        <v/>
      </c>
      <c r="G118" s="20" t="str">
        <f aca="false">IF('Golden Dataset'!S79="","",'Golden Dataset'!S79)</f>
        <v/>
      </c>
    </row>
    <row r="119" customFormat="false" ht="15" hidden="false" customHeight="true" outlineLevel="0" collapsed="false">
      <c r="A119" s="20" t="str">
        <f aca="false">IF('Golden Dataset'!A80="","",'Golden Dataset'!A80)</f>
        <v/>
      </c>
      <c r="B119" s="20" t="str">
        <f aca="false">IF('Golden Dataset'!A80="","",'Golden Dataset'!F80)</f>
        <v/>
      </c>
      <c r="C119" s="20" t="str">
        <f aca="false">IF('Golden Dataset'!A80="","",'Golden Dataset'!G80)</f>
        <v/>
      </c>
      <c r="D119" s="20" t="str">
        <f aca="false">IF('Golden Dataset'!P80="","",'Golden Dataset'!P80)</f>
        <v/>
      </c>
      <c r="E119" s="20" t="str">
        <f aca="false">IF('Golden Dataset'!Q80="","",'Golden Dataset'!Q80)</f>
        <v/>
      </c>
      <c r="F119" s="20" t="str">
        <f aca="false">IF('Golden Dataset'!R80="","",'Golden Dataset'!R80)</f>
        <v/>
      </c>
      <c r="G119" s="20" t="str">
        <f aca="false">IF('Golden Dataset'!S80="","",'Golden Dataset'!S80)</f>
        <v/>
      </c>
    </row>
    <row r="120" customFormat="false" ht="15" hidden="false" customHeight="true" outlineLevel="0" collapsed="false">
      <c r="A120" s="20" t="str">
        <f aca="false">IF('Golden Dataset'!A81="","",'Golden Dataset'!A81)</f>
        <v/>
      </c>
      <c r="B120" s="20" t="str">
        <f aca="false">IF('Golden Dataset'!A81="","",'Golden Dataset'!F81)</f>
        <v/>
      </c>
      <c r="C120" s="20" t="str">
        <f aca="false">IF('Golden Dataset'!A81="","",'Golden Dataset'!G81)</f>
        <v/>
      </c>
      <c r="D120" s="20" t="str">
        <f aca="false">IF('Golden Dataset'!P81="","",'Golden Dataset'!P81)</f>
        <v/>
      </c>
      <c r="E120" s="20" t="str">
        <f aca="false">IF('Golden Dataset'!Q81="","",'Golden Dataset'!Q81)</f>
        <v/>
      </c>
      <c r="F120" s="20" t="str">
        <f aca="false">IF('Golden Dataset'!R81="","",'Golden Dataset'!R81)</f>
        <v/>
      </c>
      <c r="G120" s="20" t="str">
        <f aca="false">IF('Golden Dataset'!S81="","",'Golden Dataset'!S81)</f>
        <v/>
      </c>
    </row>
    <row r="121" customFormat="false" ht="15" hidden="false" customHeight="true" outlineLevel="0" collapsed="false">
      <c r="A121" s="20" t="str">
        <f aca="false">IF('Golden Dataset'!A82="","",'Golden Dataset'!A82)</f>
        <v/>
      </c>
      <c r="B121" s="20" t="str">
        <f aca="false">IF('Golden Dataset'!A82="","",'Golden Dataset'!F82)</f>
        <v/>
      </c>
      <c r="C121" s="20" t="str">
        <f aca="false">IF('Golden Dataset'!A82="","",'Golden Dataset'!G82)</f>
        <v/>
      </c>
      <c r="D121" s="20" t="str">
        <f aca="false">IF('Golden Dataset'!P82="","",'Golden Dataset'!P82)</f>
        <v/>
      </c>
      <c r="E121" s="20" t="str">
        <f aca="false">IF('Golden Dataset'!Q82="","",'Golden Dataset'!Q82)</f>
        <v/>
      </c>
      <c r="F121" s="20" t="str">
        <f aca="false">IF('Golden Dataset'!R82="","",'Golden Dataset'!R82)</f>
        <v/>
      </c>
      <c r="G121" s="20" t="str">
        <f aca="false">IF('Golden Dataset'!S82="","",'Golden Dataset'!S82)</f>
        <v/>
      </c>
    </row>
    <row r="122" customFormat="false" ht="15" hidden="false" customHeight="true" outlineLevel="0" collapsed="false">
      <c r="A122" s="20" t="str">
        <f aca="false">IF('Golden Dataset'!A83="","",'Golden Dataset'!A83)</f>
        <v/>
      </c>
      <c r="B122" s="20" t="str">
        <f aca="false">IF('Golden Dataset'!A83="","",'Golden Dataset'!F83)</f>
        <v/>
      </c>
      <c r="C122" s="20" t="str">
        <f aca="false">IF('Golden Dataset'!A83="","",'Golden Dataset'!G83)</f>
        <v/>
      </c>
      <c r="D122" s="20" t="str">
        <f aca="false">IF('Golden Dataset'!P83="","",'Golden Dataset'!P83)</f>
        <v/>
      </c>
      <c r="E122" s="20" t="str">
        <f aca="false">IF('Golden Dataset'!Q83="","",'Golden Dataset'!Q83)</f>
        <v/>
      </c>
      <c r="F122" s="20" t="str">
        <f aca="false">IF('Golden Dataset'!R83="","",'Golden Dataset'!R83)</f>
        <v/>
      </c>
      <c r="G122" s="20" t="str">
        <f aca="false">IF('Golden Dataset'!S83="","",'Golden Dataset'!S83)</f>
        <v/>
      </c>
    </row>
    <row r="123" customFormat="false" ht="15" hidden="false" customHeight="true" outlineLevel="0" collapsed="false">
      <c r="A123" s="20" t="str">
        <f aca="false">IF('Golden Dataset'!A84="","",'Golden Dataset'!A84)</f>
        <v/>
      </c>
      <c r="B123" s="20" t="str">
        <f aca="false">IF('Golden Dataset'!A84="","",'Golden Dataset'!F84)</f>
        <v/>
      </c>
      <c r="C123" s="20" t="str">
        <f aca="false">IF('Golden Dataset'!A84="","",'Golden Dataset'!G84)</f>
        <v/>
      </c>
      <c r="D123" s="20" t="str">
        <f aca="false">IF('Golden Dataset'!P84="","",'Golden Dataset'!P84)</f>
        <v/>
      </c>
      <c r="E123" s="20" t="str">
        <f aca="false">IF('Golden Dataset'!Q84="","",'Golden Dataset'!Q84)</f>
        <v/>
      </c>
      <c r="F123" s="20" t="str">
        <f aca="false">IF('Golden Dataset'!R84="","",'Golden Dataset'!R84)</f>
        <v/>
      </c>
      <c r="G123" s="20" t="str">
        <f aca="false">IF('Golden Dataset'!S84="","",'Golden Dataset'!S84)</f>
        <v/>
      </c>
    </row>
    <row r="124" customFormat="false" ht="15" hidden="false" customHeight="true" outlineLevel="0" collapsed="false">
      <c r="A124" s="20" t="str">
        <f aca="false">IF('Golden Dataset'!A85="","",'Golden Dataset'!A85)</f>
        <v/>
      </c>
      <c r="B124" s="20" t="str">
        <f aca="false">IF('Golden Dataset'!A85="","",'Golden Dataset'!F85)</f>
        <v/>
      </c>
      <c r="C124" s="20" t="str">
        <f aca="false">IF('Golden Dataset'!A85="","",'Golden Dataset'!G85)</f>
        <v/>
      </c>
      <c r="D124" s="20" t="str">
        <f aca="false">IF('Golden Dataset'!P85="","",'Golden Dataset'!P85)</f>
        <v/>
      </c>
      <c r="E124" s="20" t="str">
        <f aca="false">IF('Golden Dataset'!Q85="","",'Golden Dataset'!Q85)</f>
        <v/>
      </c>
      <c r="F124" s="20" t="str">
        <f aca="false">IF('Golden Dataset'!R85="","",'Golden Dataset'!R85)</f>
        <v/>
      </c>
      <c r="G124" s="20" t="str">
        <f aca="false">IF('Golden Dataset'!S85="","",'Golden Dataset'!S85)</f>
        <v/>
      </c>
    </row>
    <row r="125" customFormat="false" ht="15" hidden="false" customHeight="true" outlineLevel="0" collapsed="false">
      <c r="A125" s="20" t="str">
        <f aca="false">IF('Golden Dataset'!A86="","",'Golden Dataset'!A86)</f>
        <v/>
      </c>
      <c r="B125" s="20" t="str">
        <f aca="false">IF('Golden Dataset'!A86="","",'Golden Dataset'!F86)</f>
        <v/>
      </c>
      <c r="C125" s="20" t="str">
        <f aca="false">IF('Golden Dataset'!A86="","",'Golden Dataset'!G86)</f>
        <v/>
      </c>
      <c r="D125" s="20" t="str">
        <f aca="false">IF('Golden Dataset'!P86="","",'Golden Dataset'!P86)</f>
        <v/>
      </c>
      <c r="E125" s="20" t="str">
        <f aca="false">IF('Golden Dataset'!Q86="","",'Golden Dataset'!Q86)</f>
        <v/>
      </c>
      <c r="F125" s="20" t="str">
        <f aca="false">IF('Golden Dataset'!R86="","",'Golden Dataset'!R86)</f>
        <v/>
      </c>
      <c r="G125" s="20" t="str">
        <f aca="false">IF('Golden Dataset'!S86="","",'Golden Dataset'!S86)</f>
        <v/>
      </c>
    </row>
    <row r="126" customFormat="false" ht="15" hidden="false" customHeight="true" outlineLevel="0" collapsed="false">
      <c r="A126" s="20" t="str">
        <f aca="false">IF('Golden Dataset'!A87="","",'Golden Dataset'!A87)</f>
        <v/>
      </c>
      <c r="B126" s="20" t="str">
        <f aca="false">IF('Golden Dataset'!A87="","",'Golden Dataset'!F87)</f>
        <v/>
      </c>
      <c r="C126" s="20" t="str">
        <f aca="false">IF('Golden Dataset'!A87="","",'Golden Dataset'!G87)</f>
        <v/>
      </c>
      <c r="D126" s="20" t="str">
        <f aca="false">IF('Golden Dataset'!P87="","",'Golden Dataset'!P87)</f>
        <v/>
      </c>
      <c r="E126" s="20" t="str">
        <f aca="false">IF('Golden Dataset'!Q87="","",'Golden Dataset'!Q87)</f>
        <v/>
      </c>
      <c r="F126" s="20" t="str">
        <f aca="false">IF('Golden Dataset'!R87="","",'Golden Dataset'!R87)</f>
        <v/>
      </c>
      <c r="G126" s="20" t="str">
        <f aca="false">IF('Golden Dataset'!S87="","",'Golden Dataset'!S87)</f>
        <v/>
      </c>
    </row>
    <row r="127" customFormat="false" ht="15" hidden="false" customHeight="true" outlineLevel="0" collapsed="false">
      <c r="A127" s="20" t="str">
        <f aca="false">IF('Golden Dataset'!A88="","",'Golden Dataset'!A88)</f>
        <v/>
      </c>
      <c r="B127" s="20" t="str">
        <f aca="false">IF('Golden Dataset'!A88="","",'Golden Dataset'!F88)</f>
        <v/>
      </c>
      <c r="C127" s="20" t="str">
        <f aca="false">IF('Golden Dataset'!A88="","",'Golden Dataset'!G88)</f>
        <v/>
      </c>
      <c r="D127" s="20" t="str">
        <f aca="false">IF('Golden Dataset'!P88="","",'Golden Dataset'!P88)</f>
        <v/>
      </c>
      <c r="E127" s="20" t="str">
        <f aca="false">IF('Golden Dataset'!Q88="","",'Golden Dataset'!Q88)</f>
        <v/>
      </c>
      <c r="F127" s="20" t="str">
        <f aca="false">IF('Golden Dataset'!R88="","",'Golden Dataset'!R88)</f>
        <v/>
      </c>
      <c r="G127" s="20" t="str">
        <f aca="false">IF('Golden Dataset'!S88="","",'Golden Dataset'!S88)</f>
        <v/>
      </c>
    </row>
    <row r="128" customFormat="false" ht="15" hidden="false" customHeight="true" outlineLevel="0" collapsed="false">
      <c r="A128" s="20" t="str">
        <f aca="false">IF('Golden Dataset'!A89="","",'Golden Dataset'!A89)</f>
        <v/>
      </c>
      <c r="B128" s="20" t="str">
        <f aca="false">IF('Golden Dataset'!A89="","",'Golden Dataset'!F89)</f>
        <v/>
      </c>
      <c r="C128" s="20" t="str">
        <f aca="false">IF('Golden Dataset'!A89="","",'Golden Dataset'!G89)</f>
        <v/>
      </c>
      <c r="D128" s="20" t="str">
        <f aca="false">IF('Golden Dataset'!P89="","",'Golden Dataset'!P89)</f>
        <v/>
      </c>
      <c r="E128" s="20" t="str">
        <f aca="false">IF('Golden Dataset'!Q89="","",'Golden Dataset'!Q89)</f>
        <v/>
      </c>
      <c r="F128" s="20" t="str">
        <f aca="false">IF('Golden Dataset'!R89="","",'Golden Dataset'!R89)</f>
        <v/>
      </c>
      <c r="G128" s="20" t="str">
        <f aca="false">IF('Golden Dataset'!S89="","",'Golden Dataset'!S89)</f>
        <v/>
      </c>
    </row>
    <row r="129" customFormat="false" ht="15" hidden="false" customHeight="true" outlineLevel="0" collapsed="false">
      <c r="A129" s="20" t="str">
        <f aca="false">IF('Golden Dataset'!A90="","",'Golden Dataset'!A90)</f>
        <v/>
      </c>
      <c r="B129" s="20" t="str">
        <f aca="false">IF('Golden Dataset'!A90="","",'Golden Dataset'!F90)</f>
        <v/>
      </c>
      <c r="C129" s="20" t="str">
        <f aca="false">IF('Golden Dataset'!A90="","",'Golden Dataset'!G90)</f>
        <v/>
      </c>
      <c r="D129" s="20" t="str">
        <f aca="false">IF('Golden Dataset'!P90="","",'Golden Dataset'!P90)</f>
        <v/>
      </c>
      <c r="E129" s="20" t="str">
        <f aca="false">IF('Golden Dataset'!Q90="","",'Golden Dataset'!Q90)</f>
        <v/>
      </c>
      <c r="F129" s="20" t="str">
        <f aca="false">IF('Golden Dataset'!R90="","",'Golden Dataset'!R90)</f>
        <v/>
      </c>
      <c r="G129" s="20" t="str">
        <f aca="false">IF('Golden Dataset'!S90="","",'Golden Dataset'!S90)</f>
        <v/>
      </c>
    </row>
    <row r="130" customFormat="false" ht="15" hidden="false" customHeight="true" outlineLevel="0" collapsed="false">
      <c r="A130" s="20" t="str">
        <f aca="false">IF('Golden Dataset'!A91="","",'Golden Dataset'!A91)</f>
        <v/>
      </c>
      <c r="B130" s="20" t="str">
        <f aca="false">IF('Golden Dataset'!A91="","",'Golden Dataset'!F91)</f>
        <v/>
      </c>
      <c r="C130" s="20" t="str">
        <f aca="false">IF('Golden Dataset'!A91="","",'Golden Dataset'!G91)</f>
        <v/>
      </c>
      <c r="D130" s="20" t="str">
        <f aca="false">IF('Golden Dataset'!P91="","",'Golden Dataset'!P91)</f>
        <v/>
      </c>
      <c r="E130" s="20" t="str">
        <f aca="false">IF('Golden Dataset'!Q91="","",'Golden Dataset'!Q91)</f>
        <v/>
      </c>
      <c r="F130" s="20" t="str">
        <f aca="false">IF('Golden Dataset'!R91="","",'Golden Dataset'!R91)</f>
        <v/>
      </c>
      <c r="G130" s="20" t="str">
        <f aca="false">IF('Golden Dataset'!S91="","",'Golden Dataset'!S91)</f>
        <v/>
      </c>
    </row>
    <row r="131" customFormat="false" ht="15" hidden="false" customHeight="true" outlineLevel="0" collapsed="false">
      <c r="A131" s="20" t="str">
        <f aca="false">IF('Golden Dataset'!A92="","",'Golden Dataset'!A92)</f>
        <v/>
      </c>
      <c r="B131" s="20" t="str">
        <f aca="false">IF('Golden Dataset'!A92="","",'Golden Dataset'!F92)</f>
        <v/>
      </c>
      <c r="C131" s="20" t="str">
        <f aca="false">IF('Golden Dataset'!A92="","",'Golden Dataset'!G92)</f>
        <v/>
      </c>
      <c r="D131" s="20" t="str">
        <f aca="false">IF('Golden Dataset'!P92="","",'Golden Dataset'!P92)</f>
        <v/>
      </c>
      <c r="E131" s="20" t="str">
        <f aca="false">IF('Golden Dataset'!Q92="","",'Golden Dataset'!Q92)</f>
        <v/>
      </c>
      <c r="F131" s="20" t="str">
        <f aca="false">IF('Golden Dataset'!R92="","",'Golden Dataset'!R92)</f>
        <v/>
      </c>
      <c r="G131" s="20" t="str">
        <f aca="false">IF('Golden Dataset'!S92="","",'Golden Dataset'!S92)</f>
        <v/>
      </c>
    </row>
    <row r="132" customFormat="false" ht="15" hidden="false" customHeight="true" outlineLevel="0" collapsed="false">
      <c r="A132" s="20" t="str">
        <f aca="false">IF('Golden Dataset'!A93="","",'Golden Dataset'!A93)</f>
        <v/>
      </c>
      <c r="B132" s="20" t="str">
        <f aca="false">IF('Golden Dataset'!A93="","",'Golden Dataset'!F93)</f>
        <v/>
      </c>
      <c r="C132" s="20" t="str">
        <f aca="false">IF('Golden Dataset'!A93="","",'Golden Dataset'!G93)</f>
        <v/>
      </c>
      <c r="D132" s="20" t="str">
        <f aca="false">IF('Golden Dataset'!P93="","",'Golden Dataset'!P93)</f>
        <v/>
      </c>
      <c r="E132" s="20" t="str">
        <f aca="false">IF('Golden Dataset'!Q93="","",'Golden Dataset'!Q93)</f>
        <v/>
      </c>
      <c r="F132" s="20" t="str">
        <f aca="false">IF('Golden Dataset'!R93="","",'Golden Dataset'!R93)</f>
        <v/>
      </c>
      <c r="G132" s="20" t="str">
        <f aca="false">IF('Golden Dataset'!S93="","",'Golden Dataset'!S93)</f>
        <v/>
      </c>
    </row>
    <row r="133" customFormat="false" ht="15" hidden="false" customHeight="true" outlineLevel="0" collapsed="false">
      <c r="A133" s="20" t="str">
        <f aca="false">IF('Golden Dataset'!A94="","",'Golden Dataset'!A94)</f>
        <v/>
      </c>
      <c r="B133" s="20" t="str">
        <f aca="false">IF('Golden Dataset'!A94="","",'Golden Dataset'!F94)</f>
        <v/>
      </c>
      <c r="C133" s="20" t="str">
        <f aca="false">IF('Golden Dataset'!A94="","",'Golden Dataset'!G94)</f>
        <v/>
      </c>
      <c r="D133" s="20" t="str">
        <f aca="false">IF('Golden Dataset'!P94="","",'Golden Dataset'!P94)</f>
        <v/>
      </c>
      <c r="E133" s="20" t="str">
        <f aca="false">IF('Golden Dataset'!Q94="","",'Golden Dataset'!Q94)</f>
        <v/>
      </c>
      <c r="F133" s="20" t="str">
        <f aca="false">IF('Golden Dataset'!R94="","",'Golden Dataset'!R94)</f>
        <v/>
      </c>
      <c r="G133" s="20" t="str">
        <f aca="false">IF('Golden Dataset'!S94="","",'Golden Dataset'!S94)</f>
        <v/>
      </c>
    </row>
    <row r="134" customFormat="false" ht="15" hidden="false" customHeight="true" outlineLevel="0" collapsed="false">
      <c r="A134" s="20" t="str">
        <f aca="false">IF('Golden Dataset'!A95="","",'Golden Dataset'!A95)</f>
        <v/>
      </c>
      <c r="B134" s="20" t="str">
        <f aca="false">IF('Golden Dataset'!A95="","",'Golden Dataset'!F95)</f>
        <v/>
      </c>
      <c r="C134" s="20" t="str">
        <f aca="false">IF('Golden Dataset'!A95="","",'Golden Dataset'!G95)</f>
        <v/>
      </c>
      <c r="D134" s="20" t="str">
        <f aca="false">IF('Golden Dataset'!P95="","",'Golden Dataset'!P95)</f>
        <v/>
      </c>
      <c r="E134" s="20" t="str">
        <f aca="false">IF('Golden Dataset'!Q95="","",'Golden Dataset'!Q95)</f>
        <v/>
      </c>
      <c r="F134" s="20" t="str">
        <f aca="false">IF('Golden Dataset'!R95="","",'Golden Dataset'!R95)</f>
        <v/>
      </c>
      <c r="G134" s="20" t="str">
        <f aca="false">IF('Golden Dataset'!S95="","",'Golden Dataset'!S95)</f>
        <v/>
      </c>
    </row>
    <row r="135" customFormat="false" ht="15" hidden="false" customHeight="true" outlineLevel="0" collapsed="false">
      <c r="A135" s="20" t="str">
        <f aca="false">IF('Golden Dataset'!A96="","",'Golden Dataset'!A96)</f>
        <v/>
      </c>
      <c r="B135" s="20" t="str">
        <f aca="false">IF('Golden Dataset'!A96="","",'Golden Dataset'!F96)</f>
        <v/>
      </c>
      <c r="C135" s="20" t="str">
        <f aca="false">IF('Golden Dataset'!A96="","",'Golden Dataset'!G96)</f>
        <v/>
      </c>
      <c r="D135" s="20" t="str">
        <f aca="false">IF('Golden Dataset'!P96="","",'Golden Dataset'!P96)</f>
        <v/>
      </c>
      <c r="E135" s="20" t="str">
        <f aca="false">IF('Golden Dataset'!Q96="","",'Golden Dataset'!Q96)</f>
        <v/>
      </c>
      <c r="F135" s="20" t="str">
        <f aca="false">IF('Golden Dataset'!R96="","",'Golden Dataset'!R96)</f>
        <v/>
      </c>
      <c r="G135" s="20" t="str">
        <f aca="false">IF('Golden Dataset'!S96="","",'Golden Dataset'!S96)</f>
        <v/>
      </c>
    </row>
    <row r="136" customFormat="false" ht="15" hidden="false" customHeight="true" outlineLevel="0" collapsed="false">
      <c r="A136" s="20" t="str">
        <f aca="false">IF('Golden Dataset'!A97="","",'Golden Dataset'!A97)</f>
        <v/>
      </c>
      <c r="B136" s="20" t="str">
        <f aca="false">IF('Golden Dataset'!A97="","",'Golden Dataset'!F97)</f>
        <v/>
      </c>
      <c r="C136" s="20" t="str">
        <f aca="false">IF('Golden Dataset'!A97="","",'Golden Dataset'!G97)</f>
        <v/>
      </c>
      <c r="D136" s="20" t="str">
        <f aca="false">IF('Golden Dataset'!P97="","",'Golden Dataset'!P97)</f>
        <v/>
      </c>
      <c r="E136" s="20" t="str">
        <f aca="false">IF('Golden Dataset'!Q97="","",'Golden Dataset'!Q97)</f>
        <v/>
      </c>
      <c r="F136" s="20" t="str">
        <f aca="false">IF('Golden Dataset'!R97="","",'Golden Dataset'!R97)</f>
        <v/>
      </c>
      <c r="G136" s="20" t="str">
        <f aca="false">IF('Golden Dataset'!S97="","",'Golden Dataset'!S97)</f>
        <v/>
      </c>
    </row>
    <row r="137" customFormat="false" ht="15" hidden="false" customHeight="true" outlineLevel="0" collapsed="false">
      <c r="A137" s="20" t="str">
        <f aca="false">IF('Golden Dataset'!A98="","",'Golden Dataset'!A98)</f>
        <v/>
      </c>
      <c r="B137" s="20" t="str">
        <f aca="false">IF('Golden Dataset'!A98="","",'Golden Dataset'!F98)</f>
        <v/>
      </c>
      <c r="C137" s="20" t="str">
        <f aca="false">IF('Golden Dataset'!A98="","",'Golden Dataset'!G98)</f>
        <v/>
      </c>
      <c r="D137" s="20" t="str">
        <f aca="false">IF('Golden Dataset'!P98="","",'Golden Dataset'!P98)</f>
        <v/>
      </c>
      <c r="E137" s="20" t="str">
        <f aca="false">IF('Golden Dataset'!Q98="","",'Golden Dataset'!Q98)</f>
        <v/>
      </c>
      <c r="F137" s="20" t="str">
        <f aca="false">IF('Golden Dataset'!R98="","",'Golden Dataset'!R98)</f>
        <v/>
      </c>
      <c r="G137" s="20" t="str">
        <f aca="false">IF('Golden Dataset'!S98="","",'Golden Dataset'!S98)</f>
        <v/>
      </c>
    </row>
    <row r="138" customFormat="false" ht="15" hidden="false" customHeight="true" outlineLevel="0" collapsed="false">
      <c r="A138" s="20" t="str">
        <f aca="false">IF('Golden Dataset'!A99="","",'Golden Dataset'!A99)</f>
        <v/>
      </c>
      <c r="B138" s="20" t="str">
        <f aca="false">IF('Golden Dataset'!A99="","",'Golden Dataset'!F99)</f>
        <v/>
      </c>
      <c r="C138" s="20" t="str">
        <f aca="false">IF('Golden Dataset'!A99="","",'Golden Dataset'!G99)</f>
        <v/>
      </c>
      <c r="D138" s="20" t="str">
        <f aca="false">IF('Golden Dataset'!P99="","",'Golden Dataset'!P99)</f>
        <v/>
      </c>
      <c r="E138" s="20" t="str">
        <f aca="false">IF('Golden Dataset'!Q99="","",'Golden Dataset'!Q99)</f>
        <v/>
      </c>
      <c r="F138" s="20" t="str">
        <f aca="false">IF('Golden Dataset'!R99="","",'Golden Dataset'!R99)</f>
        <v/>
      </c>
      <c r="G138" s="20" t="str">
        <f aca="false">IF('Golden Dataset'!S99="","",'Golden Dataset'!S99)</f>
        <v/>
      </c>
    </row>
    <row r="139" customFormat="false" ht="15" hidden="false" customHeight="true" outlineLevel="0" collapsed="false">
      <c r="A139" s="20" t="str">
        <f aca="false">IF('Golden Dataset'!A100="","",'Golden Dataset'!A100)</f>
        <v/>
      </c>
      <c r="B139" s="20" t="str">
        <f aca="false">IF('Golden Dataset'!A100="","",'Golden Dataset'!F100)</f>
        <v/>
      </c>
      <c r="C139" s="20" t="str">
        <f aca="false">IF('Golden Dataset'!A100="","",'Golden Dataset'!G100)</f>
        <v/>
      </c>
      <c r="D139" s="20" t="str">
        <f aca="false">IF('Golden Dataset'!P100="","",'Golden Dataset'!P100)</f>
        <v/>
      </c>
      <c r="E139" s="20" t="str">
        <f aca="false">IF('Golden Dataset'!Q100="","",'Golden Dataset'!Q100)</f>
        <v/>
      </c>
      <c r="F139" s="20" t="str">
        <f aca="false">IF('Golden Dataset'!R100="","",'Golden Dataset'!R100)</f>
        <v/>
      </c>
      <c r="G139" s="20" t="str">
        <f aca="false">IF('Golden Dataset'!S100="","",'Golden Dataset'!S100)</f>
        <v/>
      </c>
    </row>
    <row r="140" customFormat="false" ht="15" hidden="false" customHeight="true" outlineLevel="0" collapsed="false">
      <c r="A140" s="20" t="str">
        <f aca="false">IF('Golden Dataset'!A101="","",'Golden Dataset'!A101)</f>
        <v/>
      </c>
      <c r="B140" s="20" t="str">
        <f aca="false">IF('Golden Dataset'!A101="","",'Golden Dataset'!F101)</f>
        <v/>
      </c>
      <c r="C140" s="20" t="str">
        <f aca="false">IF('Golden Dataset'!A101="","",'Golden Dataset'!G101)</f>
        <v/>
      </c>
      <c r="D140" s="20" t="str">
        <f aca="false">IF('Golden Dataset'!P101="","",'Golden Dataset'!P101)</f>
        <v/>
      </c>
      <c r="E140" s="20" t="str">
        <f aca="false">IF('Golden Dataset'!Q101="","",'Golden Dataset'!Q101)</f>
        <v/>
      </c>
      <c r="F140" s="20" t="str">
        <f aca="false">IF('Golden Dataset'!R101="","",'Golden Dataset'!R101)</f>
        <v/>
      </c>
      <c r="G140" s="20" t="str">
        <f aca="false">IF('Golden Dataset'!S101="","",'Golden Dataset'!S101)</f>
        <v/>
      </c>
    </row>
  </sheetData>
  <conditionalFormatting sqref="D41:D140">
    <cfRule type="expression" priority="2" aboveAverage="0" equalAverage="0" bottom="0" percent="0" rank="0" text="" dxfId="0">
      <formula>E41="FAIL"</formula>
    </cfRule>
  </conditionalFormatting>
  <conditionalFormatting sqref="E41:E140">
    <cfRule type="expression" priority="3" aboveAverage="0" equalAverage="0" bottom="0" percent="0" rank="0" text="" dxfId="0">
      <formula>E41="FAIL"</formula>
    </cfRule>
  </conditionalFormatting>
  <conditionalFormatting sqref="F41:F140">
    <cfRule type="expression" priority="4" aboveAverage="0" equalAverage="0" bottom="0" percent="0" rank="0" text="" dxfId="0">
      <formula>G41="FAIL"</formula>
    </cfRule>
  </conditionalFormatting>
  <conditionalFormatting sqref="G41:G140">
    <cfRule type="expression" priority="5" aboveAverage="0" equalAverage="0" bottom="0" percent="0" rank="0" text="" dxfId="0">
      <formula>G41="FAIL"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2026-08-10T14:16:33Z</dcterms:created>
  <dc:creator>openpyxl</dc:creator>
  <dc:description/>
  <dc:language>en-IN</dc:language>
  <cp:lastModifiedBy/>
  <dcterms:modified xsi:type="dcterms:W3CDTF">2026-08-13T18:58:33Z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